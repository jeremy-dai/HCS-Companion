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emy\Google Drive\AIA\Excel\"/>
    </mc:Choice>
  </mc:AlternateContent>
  <bookViews>
    <workbookView xWindow="0" yWindow="0" windowWidth="28800" windowHeight="12210" activeTab="1" xr2:uid="{00000000-000D-0000-FFFF-FFFF00000000}"/>
  </bookViews>
  <sheets>
    <sheet name="Importing HCS Results" sheetId="1" r:id="rId1"/>
    <sheet name="Calculating density etc" sheetId="4" r:id="rId2"/>
    <sheet name="Line Diagram Example" sheetId="5" r:id="rId3"/>
    <sheet name="Version Tracking" sheetId="3" r:id="rId4"/>
  </sheets>
  <definedNames>
    <definedName name="a1_" localSheetId="0">'Importing HCS Results'!$A$1:$M$100</definedName>
    <definedName name="a1_1" localSheetId="0">'Importing HCS Results'!$A$1:$M$94</definedName>
    <definedName name="a1_2" localSheetId="0">'Importing HCS Results'!$A$1:$M$94</definedName>
    <definedName name="a1_3" localSheetId="0">'Importing HCS Results'!$A$1:$M$94</definedName>
    <definedName name="a1_4" localSheetId="0">'Importing HCS Results'!$A$1:$M$94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R16" i="5" l="1"/>
  <c r="CP16" i="5"/>
  <c r="CL16" i="5"/>
  <c r="CG16" i="5"/>
  <c r="CB16" i="5"/>
  <c r="BX16" i="5"/>
  <c r="BT16" i="5"/>
  <c r="BL16" i="5"/>
  <c r="BF16" i="5"/>
  <c r="BC16" i="5"/>
  <c r="AT16" i="5"/>
  <c r="AO16" i="5"/>
  <c r="AL16" i="5"/>
  <c r="AJ16" i="5"/>
  <c r="AF16" i="5"/>
  <c r="AD16" i="5"/>
  <c r="AA16" i="5"/>
  <c r="CU8" i="5"/>
  <c r="CS8" i="5"/>
  <c r="CN8" i="5"/>
  <c r="CD8" i="5"/>
  <c r="BU8" i="5"/>
  <c r="BO8" i="5"/>
  <c r="BM8" i="5"/>
  <c r="BC8" i="5"/>
  <c r="AU8" i="5"/>
  <c r="AO8" i="5"/>
  <c r="AL8" i="5"/>
  <c r="AD8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_FM 876 Exit Ramp ref Spur 394 Exit Ramp" type="6" refreshedVersion="6" background="1" saveData="1">
    <textPr prompt="0" codePage="850" firstRow="13" sourceFile="F:\TXPROJ\TX2323-01\Docs\Reports\Traffic Study\IAJR\HCS\HCS_DHV\2018_Build\Northbound\Ramps\1_FM 876 Exit Ramp ref Spur 394 Exit Ramp.txt" space="1" consecutive="1">
      <textFields>
        <textField/>
      </textFields>
    </textPr>
  </connection>
  <connection id="2" xr16:uid="{00000000-0015-0000-FFFF-FFFF01000000}" name="1_FM 876 Exit Ramp ref Spur 394 Exit Ramp1" type="6" refreshedVersion="6" background="1" saveData="1">
    <textPr prompt="0" codePage="850" firstRow="19" sourceFile="F:\TXPROJ\TX2323-01\Docs\Reports\Traffic Study\IAJR\HCS\HCS_DHV\2018_Build\Northbound\Ramps\1_FM 876 Exit Ramp ref Spur 394 Exit Ramp.txt" space="1" consecutive="1">
      <textFields>
        <textField/>
      </textFields>
    </textPr>
  </connection>
  <connection id="3" xr16:uid="{00000000-0015-0000-FFFF-FFFF02000000}" name="1_FM 876 Exit Ramp ref Spur 394 Exit Ramp2" type="6" refreshedVersion="6" background="1" saveData="1">
    <textPr prompt="0" codePage="850" firstRow="19" sourceFile="F:\TXPROJ\TX2323-01\Docs\Reports\Traffic Study\IAJR\HCS\HCS_DHV\2018_Build\Northbound\Ramps\1_FM 876 Exit Ramp ref Spur 394 Exit Ramp.txt" space="1" consecutive="1">
      <textFields>
        <textField/>
      </textFields>
    </textPr>
  </connection>
  <connection id="4" xr16:uid="{00000000-0015-0000-FFFF-FFFF03000000}" name="1_FM 876 Exit Ramp ref Spur 394 Exit Ramp3" type="6" refreshedVersion="6" background="1" saveData="1">
    <textPr prompt="0" codePage="850" firstRow="19" sourceFile="F:\TXPROJ\TX2323-01\Docs\Reports\Traffic Study\IAJR\HCS\HCS_DHV\2018_Build\Northbound\Ramps\1_FM 876 Exit Ramp ref Spur 394 Exit Ramp.txt" space="1" consecutive="1">
      <textFields>
        <textField/>
      </textFields>
    </textPr>
  </connection>
  <connection id="5" xr16:uid="{00000000-0015-0000-FFFF-FFFF04000000}" name="1_FM 876 Exit Ramp ref Spur 394 Exit Ramp4" type="6" refreshedVersion="6" background="1" saveData="1">
    <textPr prompt="0" codePage="850" firstRow="19" sourceFile="F:\TXPROJ\TX2323-01\Docs\Reports\Traffic Study\IAJR\HCS\HCS_DHV\2018_Build\Northbound\Ramps\1_FM 876 Exit Ramp ref Spur 394 Exit Ramp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<sst xmlns="http://schemas.openxmlformats.org/spreadsheetml/2006/main" count="255" uniqueCount="97">
  <si>
    <t>Ver</t>
  </si>
  <si>
    <t>Improvements</t>
  </si>
  <si>
    <t>This Macro will help you extract and summarize the HCS results based on the txt files generated by HCS 2010.</t>
  </si>
  <si>
    <t>Fixed ramp names. Ref ramp location added in the name.</t>
  </si>
  <si>
    <t>Add more functions in Calculating density etc tab</t>
  </si>
  <si>
    <t>Ramp</t>
  </si>
  <si>
    <t>FM 1103 On</t>
  </si>
  <si>
    <t>HOV lane Off</t>
  </si>
  <si>
    <t>FM 2252 Off</t>
  </si>
  <si>
    <t>Schawab Rd On</t>
  </si>
  <si>
    <t>FM 1103 Off</t>
  </si>
  <si>
    <t>Engel Rd On</t>
  </si>
  <si>
    <t>Schawab Rd Off</t>
  </si>
  <si>
    <t>Solms Rd On</t>
  </si>
  <si>
    <t>Engel Rd Off</t>
  </si>
  <si>
    <t>Rueckle Rd On</t>
  </si>
  <si>
    <t>Solms Rd Off</t>
  </si>
  <si>
    <t>Schmidt Ave On</t>
  </si>
  <si>
    <t>Rueckle Rd Off</t>
  </si>
  <si>
    <t>Walnut Ave On</t>
  </si>
  <si>
    <t>Schmidt Ave Off</t>
  </si>
  <si>
    <t>Seguin Ave On</t>
  </si>
  <si>
    <t>Walnut Ave Off</t>
  </si>
  <si>
    <t>Seguin Ave Off</t>
  </si>
  <si>
    <t>FM 1101 On</t>
  </si>
  <si>
    <t>N Business Intersetate Hwy 35 Off</t>
  </si>
  <si>
    <t>END</t>
  </si>
  <si>
    <t>Bridge</t>
  </si>
  <si>
    <t>FM 3309</t>
  </si>
  <si>
    <t>FM 382</t>
  </si>
  <si>
    <t>FM 2252</t>
  </si>
  <si>
    <t>FM 1103</t>
  </si>
  <si>
    <t>Schawab Rd</t>
  </si>
  <si>
    <t>Engel Rd</t>
  </si>
  <si>
    <t>Solms Rd</t>
  </si>
  <si>
    <t>Rueckle Rd</t>
  </si>
  <si>
    <t>Schmidt Ave</t>
  </si>
  <si>
    <t>Walnu t Ave</t>
  </si>
  <si>
    <t>Seguin Ave</t>
  </si>
  <si>
    <t>FM 1101</t>
  </si>
  <si>
    <t>FM 337</t>
  </si>
  <si>
    <t>FM 306</t>
  </si>
  <si>
    <t>Station Number</t>
  </si>
  <si>
    <t>Segment Length</t>
  </si>
  <si>
    <t>N-L FREEWAY</t>
  </si>
  <si>
    <t>No.</t>
  </si>
  <si>
    <t>HOV lane On</t>
  </si>
  <si>
    <t>FM 2252 On</t>
  </si>
  <si>
    <t>FM 1101 1st Off</t>
  </si>
  <si>
    <t>FM 1101 2nd Off</t>
  </si>
  <si>
    <t>Begin</t>
  </si>
  <si>
    <t>N</t>
  </si>
  <si>
    <t>Basic</t>
  </si>
  <si>
    <t>Merge/Diverge</t>
  </si>
  <si>
    <t>Weaving</t>
  </si>
  <si>
    <t>W</t>
  </si>
  <si>
    <t>E</t>
  </si>
  <si>
    <t>S</t>
  </si>
  <si>
    <t>EB Interchange</t>
  </si>
  <si>
    <t>EB Ramp</t>
  </si>
  <si>
    <t>WB Interchange</t>
  </si>
  <si>
    <t>WB Ramp</t>
  </si>
  <si>
    <t>Type in the ramp names in row 3 and 22</t>
  </si>
  <si>
    <t>Type in the interchange names in row 4 and 21</t>
  </si>
  <si>
    <t>Type in the station number in row 7 and 18 : in the same columns as the interchange/ramp names</t>
  </si>
  <si>
    <t>Run the LineDiagram Macro. It will automatically calculate the distances between ramps and put the numbers in row 6 and 19</t>
  </si>
  <si>
    <t>Based on the distance and other information, divide the whole segments into Basic/Merge,Diverge/Weaving areas and color the cells</t>
  </si>
  <si>
    <t>Type in the number of lanes in row 9 and 17</t>
  </si>
  <si>
    <t>Type in the segment length in row 8 and 16</t>
  </si>
  <si>
    <t>Number the segment in row 10 and 15 so it is easier to track later</t>
  </si>
  <si>
    <t>LineDiagram</t>
  </si>
  <si>
    <t>Input</t>
  </si>
  <si>
    <t>Change the direction in the code : NB?EB?</t>
  </si>
  <si>
    <t>Create Inputs tab as the example excel sheet.</t>
  </si>
  <si>
    <t>Create Line Diagram tab as the example.</t>
  </si>
  <si>
    <t>Type in the direction in colume A</t>
  </si>
  <si>
    <t>A</t>
  </si>
  <si>
    <t>b</t>
  </si>
  <si>
    <t>Type in the No. as numbered in the linediagram tab in column B</t>
  </si>
  <si>
    <t>Copy and Paste the ramp names in column C and D</t>
  </si>
  <si>
    <t>Type in the N-L for basic and weaving segments</t>
  </si>
  <si>
    <t>Create Station Number as the example excel sheet.</t>
  </si>
  <si>
    <t>Copy the results of station number rows and paste in this tab. Choose transpose.</t>
  </si>
  <si>
    <t>In column P and Column Q, create vlookup formulas to get the station number based on the station number tab</t>
  </si>
  <si>
    <t>Pay attention to adjust based on merging/diverging areas</t>
  </si>
  <si>
    <t>Type in the formula to calculate length and ref point (for density calculation) in column R and S</t>
  </si>
  <si>
    <t>Run the density macro. It will automatically get densities and put the numbers in column U and V</t>
  </si>
  <si>
    <t>Change the code to match the direction. NB? EB?</t>
  </si>
  <si>
    <t xml:space="preserve"> Use formulas to fill in Column G to Row J for basic and weaving segments</t>
  </si>
  <si>
    <t>For Ramps: Use formulas to get Column L to O</t>
  </si>
  <si>
    <t>Create LALD Length tab as the example excel sheet.</t>
  </si>
  <si>
    <t>Input the LA/LD length and number of lanes</t>
  </si>
  <si>
    <t>Use vlookup to fill in Column F and Column K</t>
  </si>
  <si>
    <t>Choose Basic for basic freeway segment</t>
  </si>
  <si>
    <t>Choose Ramp for ramps</t>
  </si>
  <si>
    <t>Choose Weaving for weaving segment</t>
  </si>
  <si>
    <t>*Include on/off in the name so the software can tell the difference between on ramp and off ramp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</si>
</sst>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3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/>
      <right style="thin">
        <color indexed="64"/>
      </right>
      <top/>
      <bottom/>
      <diagonal style="thin">
        <color indexed="64"/>
      </diagonal>
    </border>
    <border diagonalUp="1">
      <left/>
      <right/>
      <top style="medium">
        <color indexed="64"/>
      </top>
      <bottom/>
      <diagonal style="thin">
        <color indexed="64"/>
      </diagonal>
    </border>
    <border diagonalUp="1">
      <left/>
      <right/>
      <top/>
      <bottom/>
      <diagonal style="medium">
        <color indexed="64"/>
      </diagonal>
    </border>
    <border diagonalDown="1">
      <left/>
      <right/>
      <top/>
      <bottom/>
      <diagonal style="medium">
        <color indexed="64"/>
      </diagonal>
    </border>
    <border diagonalUp="1">
      <left/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Up="1">
      <left/>
      <right/>
      <top/>
      <bottom style="medium">
        <color indexed="64"/>
      </bottom>
      <diagonal style="medium">
        <color indexed="64"/>
      </diagonal>
    </border>
    <border diagonalDown="1">
      <left/>
      <right/>
      <top/>
      <bottom style="medium">
        <color indexed="64"/>
      </bottom>
      <diagonal style="medium">
        <color indexed="64"/>
      </diagonal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 diagonalUp="1">
      <left/>
      <right/>
      <top style="medium">
        <color indexed="64"/>
      </top>
      <bottom/>
      <diagonal style="medium">
        <color indexed="64"/>
      </diagonal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 diagonalDown="1">
      <left/>
      <right style="medium">
        <color indexed="64"/>
      </right>
      <top style="medium">
        <color indexed="64"/>
      </top>
      <bottom/>
      <diagonal style="medium">
        <color indexed="64"/>
      </diagonal>
    </border>
    <border diagonalDown="1">
      <left/>
      <right/>
      <top style="medium">
        <color indexed="64"/>
      </top>
      <bottom/>
      <diagonal style="medium">
        <color indexed="64"/>
      </diagonal>
    </border>
    <border diagonalUp="1">
      <left/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Up="1">
      <left/>
      <right style="medium">
        <color indexed="64"/>
      </right>
      <top/>
      <bottom style="medium">
        <color indexed="64"/>
      </bottom>
      <diagonal style="medium">
        <color indexed="64"/>
      </diagonal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155">
    <xf numFmtId="0" fontId="0" fillId="0" borderId="0" xfId="0"/>
    <xf numFmtId="164" fontId="0" fillId="0" borderId="0" xfId="0" applyNumberFormat="1"/>
    <xf numFmtId="0" fontId="3" fillId="4" borderId="1" xfId="0" applyFont="1" applyFill="1" applyBorder="1"/>
    <xf numFmtId="0" fontId="5" fillId="5" borderId="0" xfId="0" applyFont="1" applyFill="1"/>
    <xf numFmtId="0" fontId="5" fillId="5" borderId="2" xfId="0" applyFont="1" applyFill="1" applyBorder="1"/>
    <xf numFmtId="0" fontId="0" fillId="5" borderId="0" xfId="0" applyFill="1"/>
    <xf numFmtId="0" fontId="0" fillId="5" borderId="3" xfId="0" applyFill="1" applyBorder="1"/>
    <xf numFmtId="0" fontId="0" fillId="5" borderId="0" xfId="0" applyFill="1" applyBorder="1"/>
    <xf numFmtId="0" fontId="0" fillId="5" borderId="2" xfId="0" applyFill="1" applyBorder="1"/>
    <xf numFmtId="0" fontId="5" fillId="0" borderId="0" xfId="0" applyFont="1"/>
    <xf numFmtId="0" fontId="5" fillId="0" borderId="2" xfId="0" applyFont="1" applyBorder="1"/>
    <xf numFmtId="0" fontId="0" fillId="0" borderId="3" xfId="0" applyBorder="1"/>
    <xf numFmtId="0" fontId="6" fillId="0" borderId="0" xfId="0" applyFont="1" applyFill="1" applyBorder="1"/>
    <xf numFmtId="0" fontId="0" fillId="0" borderId="0" xfId="0" applyBorder="1"/>
    <xf numFmtId="0" fontId="0" fillId="0" borderId="0" xfId="0" quotePrefix="1" applyAlignment="1">
      <alignment horizontal="left"/>
    </xf>
    <xf numFmtId="0" fontId="6" fillId="0" borderId="3" xfId="0" applyFont="1" applyFill="1" applyBorder="1"/>
    <xf numFmtId="0" fontId="0" fillId="0" borderId="2" xfId="0" applyBorder="1"/>
    <xf numFmtId="0" fontId="5" fillId="6" borderId="4" xfId="0" applyFont="1" applyFill="1" applyBorder="1" applyAlignment="1">
      <alignment horizontal="center"/>
    </xf>
    <xf numFmtId="0" fontId="5" fillId="0" borderId="5" xfId="0" applyFont="1" applyBorder="1"/>
    <xf numFmtId="0" fontId="5" fillId="0" borderId="6" xfId="0" applyFont="1" applyBorder="1"/>
    <xf numFmtId="0" fontId="0" fillId="0" borderId="5" xfId="0" applyBorder="1"/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5" fillId="6" borderId="10" xfId="0" applyFont="1" applyFill="1" applyBorder="1" applyAlignment="1">
      <alignment horizontal="center"/>
    </xf>
    <xf numFmtId="0" fontId="5" fillId="0" borderId="11" xfId="0" applyFont="1" applyBorder="1"/>
    <xf numFmtId="0" fontId="5" fillId="0" borderId="12" xfId="0" applyFont="1" applyBorder="1"/>
    <xf numFmtId="0" fontId="5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2" xfId="0" applyBorder="1"/>
    <xf numFmtId="0" fontId="0" fillId="0" borderId="11" xfId="0" applyBorder="1"/>
    <xf numFmtId="0" fontId="5" fillId="5" borderId="5" xfId="0" applyFont="1" applyFill="1" applyBorder="1"/>
    <xf numFmtId="0" fontId="5" fillId="7" borderId="5" xfId="0" applyFont="1" applyFill="1" applyBorder="1"/>
    <xf numFmtId="0" fontId="5" fillId="5" borderId="17" xfId="0" applyFont="1" applyFill="1" applyBorder="1"/>
    <xf numFmtId="0" fontId="5" fillId="5" borderId="18" xfId="0" applyFont="1" applyFill="1" applyBorder="1"/>
    <xf numFmtId="0" fontId="5" fillId="5" borderId="6" xfId="0" applyFont="1" applyFill="1" applyBorder="1"/>
    <xf numFmtId="0" fontId="5" fillId="7" borderId="6" xfId="0" applyFont="1" applyFill="1" applyBorder="1"/>
    <xf numFmtId="0" fontId="5" fillId="7" borderId="18" xfId="0" applyFont="1" applyFill="1" applyBorder="1"/>
    <xf numFmtId="0" fontId="0" fillId="5" borderId="17" xfId="0" applyFill="1" applyBorder="1"/>
    <xf numFmtId="0" fontId="0" fillId="5" borderId="7" xfId="0" applyFill="1" applyBorder="1"/>
    <xf numFmtId="0" fontId="0" fillId="7" borderId="8" xfId="0" applyFill="1" applyBorder="1"/>
    <xf numFmtId="0" fontId="0" fillId="5" borderId="7" xfId="0" applyFill="1" applyBorder="1" applyAlignment="1">
      <alignment horizontal="center"/>
    </xf>
    <xf numFmtId="0" fontId="0" fillId="5" borderId="19" xfId="0" applyFill="1" applyBorder="1"/>
    <xf numFmtId="0" fontId="0" fillId="7" borderId="7" xfId="0" applyFill="1" applyBorder="1" applyAlignment="1">
      <alignment horizontal="center"/>
    </xf>
    <xf numFmtId="0" fontId="0" fillId="5" borderId="20" xfId="0" applyFill="1" applyBorder="1"/>
    <xf numFmtId="0" fontId="0" fillId="5" borderId="8" xfId="0" applyFill="1" applyBorder="1" applyAlignment="1">
      <alignment horizontal="center"/>
    </xf>
    <xf numFmtId="0" fontId="0" fillId="5" borderId="8" xfId="0" applyFill="1" applyBorder="1"/>
    <xf numFmtId="0" fontId="0" fillId="7" borderId="7" xfId="0" applyFill="1" applyBorder="1"/>
    <xf numFmtId="0" fontId="0" fillId="7" borderId="20" xfId="0" applyFill="1" applyBorder="1"/>
    <xf numFmtId="0" fontId="0" fillId="5" borderId="6" xfId="0" applyFill="1" applyBorder="1"/>
    <xf numFmtId="0" fontId="0" fillId="5" borderId="5" xfId="0" applyFill="1" applyBorder="1"/>
    <xf numFmtId="0" fontId="0" fillId="7" borderId="5" xfId="0" applyFill="1" applyBorder="1"/>
    <xf numFmtId="0" fontId="0" fillId="7" borderId="18" xfId="0" applyFill="1" applyBorder="1"/>
    <xf numFmtId="0" fontId="0" fillId="5" borderId="18" xfId="0" applyFill="1" applyBorder="1"/>
    <xf numFmtId="0" fontId="5" fillId="0" borderId="0" xfId="0" applyFont="1" applyBorder="1"/>
    <xf numFmtId="0" fontId="0" fillId="8" borderId="0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8" borderId="23" xfId="0" applyFill="1" applyBorder="1"/>
    <xf numFmtId="0" fontId="0" fillId="8" borderId="0" xfId="0" applyFill="1"/>
    <xf numFmtId="0" fontId="0" fillId="8" borderId="24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0" borderId="24" xfId="0" applyBorder="1"/>
    <xf numFmtId="0" fontId="0" fillId="8" borderId="3" xfId="0" applyFill="1" applyBorder="1"/>
    <xf numFmtId="0" fontId="0" fillId="8" borderId="2" xfId="0" applyFill="1" applyBorder="1"/>
    <xf numFmtId="0" fontId="4" fillId="0" borderId="3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0" borderId="0" xfId="0" applyFont="1" applyFill="1" applyBorder="1" applyAlignment="1">
      <alignment horizontal="center"/>
    </xf>
    <xf numFmtId="0" fontId="4" fillId="10" borderId="15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10" borderId="0" xfId="0" applyFont="1" applyFill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4" fillId="10" borderId="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" fontId="4" fillId="9" borderId="0" xfId="0" applyNumberFormat="1" applyFont="1" applyFill="1" applyAlignment="1">
      <alignment horizontal="center"/>
    </xf>
    <xf numFmtId="1" fontId="4" fillId="10" borderId="0" xfId="0" applyNumberFormat="1" applyFont="1" applyFill="1" applyAlignment="1">
      <alignment horizontal="center"/>
    </xf>
    <xf numFmtId="1" fontId="4" fillId="6" borderId="0" xfId="0" applyNumberFormat="1" applyFont="1" applyFill="1" applyAlignment="1">
      <alignment horizontal="center"/>
    </xf>
    <xf numFmtId="0" fontId="5" fillId="5" borderId="0" xfId="0" applyFont="1" applyFill="1" applyBorder="1"/>
    <xf numFmtId="0" fontId="0" fillId="5" borderId="3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5" fillId="0" borderId="0" xfId="0" applyFont="1" applyFill="1"/>
    <xf numFmtId="0" fontId="5" fillId="0" borderId="0" xfId="0" applyFont="1" applyFill="1" applyBorder="1"/>
    <xf numFmtId="0" fontId="5" fillId="0" borderId="2" xfId="0" applyFont="1" applyFill="1" applyBorder="1"/>
    <xf numFmtId="0" fontId="0" fillId="0" borderId="0" xfId="0" applyFill="1"/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4" fillId="10" borderId="16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5" fillId="7" borderId="0" xfId="0" applyFont="1" applyFill="1"/>
    <xf numFmtId="0" fontId="5" fillId="5" borderId="12" xfId="0" applyFont="1" applyFill="1" applyBorder="1"/>
    <xf numFmtId="0" fontId="5" fillId="5" borderId="11" xfId="0" applyFont="1" applyFill="1" applyBorder="1"/>
    <xf numFmtId="0" fontId="5" fillId="7" borderId="2" xfId="0" applyFont="1" applyFill="1" applyBorder="1"/>
    <xf numFmtId="0" fontId="0" fillId="7" borderId="21" xfId="0" applyFill="1" applyBorder="1"/>
    <xf numFmtId="0" fontId="0" fillId="5" borderId="26" xfId="0" applyFill="1" applyBorder="1"/>
    <xf numFmtId="0" fontId="0" fillId="5" borderId="16" xfId="0" applyFill="1" applyBorder="1"/>
    <xf numFmtId="0" fontId="0" fillId="7" borderId="0" xfId="0" applyFill="1"/>
    <xf numFmtId="0" fontId="0" fillId="5" borderId="15" xfId="0" applyFill="1" applyBorder="1"/>
    <xf numFmtId="0" fontId="0" fillId="7" borderId="3" xfId="0" applyFill="1" applyBorder="1"/>
    <xf numFmtId="0" fontId="0" fillId="7" borderId="22" xfId="0" applyFill="1" applyBorder="1"/>
    <xf numFmtId="0" fontId="0" fillId="5" borderId="23" xfId="0" applyFill="1" applyBorder="1"/>
    <xf numFmtId="0" fontId="0" fillId="7" borderId="0" xfId="0" applyFill="1" applyBorder="1"/>
    <xf numFmtId="0" fontId="0" fillId="5" borderId="27" xfId="0" applyFill="1" applyBorder="1"/>
    <xf numFmtId="0" fontId="0" fillId="5" borderId="28" xfId="0" applyFill="1" applyBorder="1"/>
    <xf numFmtId="0" fontId="0" fillId="7" borderId="15" xfId="0" applyFill="1" applyBorder="1"/>
    <xf numFmtId="0" fontId="0" fillId="7" borderId="29" xfId="0" applyFill="1" applyBorder="1"/>
    <xf numFmtId="0" fontId="0" fillId="5" borderId="30" xfId="0" applyFill="1" applyBorder="1"/>
    <xf numFmtId="0" fontId="0" fillId="5" borderId="29" xfId="0" applyFill="1" applyBorder="1"/>
    <xf numFmtId="0" fontId="5" fillId="0" borderId="18" xfId="0" applyFont="1" applyBorder="1"/>
    <xf numFmtId="0" fontId="5" fillId="0" borderId="17" xfId="0" applyFont="1" applyBorder="1"/>
    <xf numFmtId="0" fontId="0" fillId="0" borderId="20" xfId="0" applyBorder="1"/>
    <xf numFmtId="0" fontId="0" fillId="0" borderId="19" xfId="0" applyBorder="1"/>
    <xf numFmtId="0" fontId="0" fillId="0" borderId="31" xfId="0" applyBorder="1"/>
    <xf numFmtId="0" fontId="0" fillId="0" borderId="17" xfId="0" applyBorder="1"/>
    <xf numFmtId="0" fontId="0" fillId="0" borderId="18" xfId="0" applyBorder="1"/>
    <xf numFmtId="0" fontId="0" fillId="0" borderId="3" xfId="0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5" fillId="6" borderId="2" xfId="0" applyFont="1" applyFill="1" applyBorder="1" applyAlignment="1">
      <alignment horizontal="center"/>
    </xf>
    <xf numFmtId="0" fontId="6" fillId="0" borderId="26" xfId="0" applyFont="1" applyFill="1" applyBorder="1"/>
    <xf numFmtId="0" fontId="0" fillId="0" borderId="26" xfId="0" applyBorder="1"/>
    <xf numFmtId="0" fontId="5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0" xfId="1"/>
    <xf numFmtId="0" fontId="1" fillId="2" borderId="0" xfId="0" applyFont="1" applyFill="1" applyAlignment="1">
      <alignment horizontal="center"/>
    </xf>
    <xf numFmtId="0" fontId="0" fillId="0" borderId="0" xfId="0" applyFill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6</xdr:row>
      <xdr:rowOff>38100</xdr:rowOff>
    </xdr:from>
    <xdr:to>
      <xdr:col>4</xdr:col>
      <xdr:colOff>504826</xdr:colOff>
      <xdr:row>9</xdr:row>
      <xdr:rowOff>123826</xdr:rowOff>
    </xdr:to>
    <xdr:sp macro="" textlink="">
      <xdr:nvSpPr>
        <xdr:cNvPr id="2" name="Arrow: Pentagon 1">
          <a:extLst>
            <a:ext uri="{FF2B5EF4-FFF2-40B4-BE49-F238E27FC236}">
              <a16:creationId xmlns:a16="http://schemas.microsoft.com/office/drawing/2014/main" id="{46433BF4-FF1D-41CF-9B29-2A8EE3F4CFC5}"/>
            </a:ext>
          </a:extLst>
        </xdr:cNvPr>
        <xdr:cNvSpPr/>
      </xdr:nvSpPr>
      <xdr:spPr>
        <a:xfrm>
          <a:off x="9526" y="1181100"/>
          <a:ext cx="2933700" cy="657226"/>
        </a:xfrm>
        <a:prstGeom prst="homePlate">
          <a:avLst/>
        </a:prstGeom>
        <a:gradFill>
          <a:gsLst>
            <a:gs pos="85000">
              <a:srgbClr val="0096CC"/>
            </a:gs>
            <a:gs pos="17000">
              <a:srgbClr val="00B0F0"/>
            </a:gs>
            <a:gs pos="0">
              <a:srgbClr val="007CA8"/>
            </a:gs>
            <a:gs pos="100000">
              <a:srgbClr val="007CA8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3600">
              <a:latin typeface="+mj-lt"/>
              <a:ea typeface="+mj-ea"/>
            </a:rPr>
            <a:t>02</a:t>
          </a:r>
          <a:r>
            <a:rPr lang="en-US" altLang="zh-CN" sz="2400">
              <a:latin typeface="+mj-lt"/>
              <a:ea typeface="+mj-ea"/>
            </a:rPr>
            <a:t> Enable Macro</a:t>
          </a:r>
          <a:endParaRPr lang="en-US" sz="2400">
            <a:latin typeface="+mj-lt"/>
            <a:ea typeface="+mj-ea"/>
          </a:endParaRPr>
        </a:p>
      </xdr:txBody>
    </xdr:sp>
    <xdr:clientData/>
  </xdr:twoCellAnchor>
  <xdr:twoCellAnchor>
    <xdr:from>
      <xdr:col>0</xdr:col>
      <xdr:colOff>0</xdr:colOff>
      <xdr:row>9</xdr:row>
      <xdr:rowOff>114300</xdr:rowOff>
    </xdr:from>
    <xdr:to>
      <xdr:col>9</xdr:col>
      <xdr:colOff>409575</xdr:colOff>
      <xdr:row>13</xdr:row>
      <xdr:rowOff>9526</xdr:rowOff>
    </xdr:to>
    <xdr:sp macro="" textlink="">
      <xdr:nvSpPr>
        <xdr:cNvPr id="3" name="Arrow: Pentagon 2">
          <a:extLst>
            <a:ext uri="{FF2B5EF4-FFF2-40B4-BE49-F238E27FC236}">
              <a16:creationId xmlns:a16="http://schemas.microsoft.com/office/drawing/2014/main" id="{B50C3B0C-443F-47C5-8633-36FCFCA1C22E}"/>
            </a:ext>
          </a:extLst>
        </xdr:cNvPr>
        <xdr:cNvSpPr/>
      </xdr:nvSpPr>
      <xdr:spPr>
        <a:xfrm>
          <a:off x="0" y="1828800"/>
          <a:ext cx="5895975" cy="657226"/>
        </a:xfrm>
        <a:prstGeom prst="homePlate">
          <a:avLst/>
        </a:prstGeom>
        <a:gradFill>
          <a:gsLst>
            <a:gs pos="85000">
              <a:srgbClr val="0096CC"/>
            </a:gs>
            <a:gs pos="17000">
              <a:srgbClr val="00B0F0"/>
            </a:gs>
            <a:gs pos="0">
              <a:srgbClr val="007CA8"/>
            </a:gs>
            <a:gs pos="100000">
              <a:srgbClr val="007CA8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3600">
              <a:latin typeface="+mj-lt"/>
              <a:ea typeface="+mj-ea"/>
            </a:rPr>
            <a:t>03</a:t>
          </a:r>
          <a:r>
            <a:rPr lang="en-US" altLang="zh-CN" sz="2400">
              <a:latin typeface="+mj-lt"/>
              <a:ea typeface="+mj-ea"/>
            </a:rPr>
            <a:t> Open a new Work</a:t>
          </a:r>
          <a:r>
            <a:rPr lang="en-US" altLang="zh-CN" sz="2400" baseline="0">
              <a:latin typeface="+mj-lt"/>
              <a:ea typeface="+mj-ea"/>
            </a:rPr>
            <a:t>book </a:t>
          </a:r>
          <a:endParaRPr lang="en-US" sz="2400">
            <a:latin typeface="+mj-lt"/>
            <a:ea typeface="+mj-ea"/>
          </a:endParaRPr>
        </a:p>
      </xdr:txBody>
    </xdr:sp>
    <xdr:clientData/>
  </xdr:twoCellAnchor>
  <xdr:twoCellAnchor>
    <xdr:from>
      <xdr:col>0</xdr:col>
      <xdr:colOff>9525</xdr:colOff>
      <xdr:row>13</xdr:row>
      <xdr:rowOff>9525</xdr:rowOff>
    </xdr:from>
    <xdr:to>
      <xdr:col>6</xdr:col>
      <xdr:colOff>276225</xdr:colOff>
      <xdr:row>16</xdr:row>
      <xdr:rowOff>95251</xdr:rowOff>
    </xdr:to>
    <xdr:sp macro="" textlink="">
      <xdr:nvSpPr>
        <xdr:cNvPr id="4" name="Arrow: Pentagon 3">
          <a:extLst>
            <a:ext uri="{FF2B5EF4-FFF2-40B4-BE49-F238E27FC236}">
              <a16:creationId xmlns:a16="http://schemas.microsoft.com/office/drawing/2014/main" id="{6CFDCD6F-52C3-4553-99AD-39FA5B9D7693}"/>
            </a:ext>
          </a:extLst>
        </xdr:cNvPr>
        <xdr:cNvSpPr/>
      </xdr:nvSpPr>
      <xdr:spPr>
        <a:xfrm>
          <a:off x="9525" y="2486025"/>
          <a:ext cx="3924300" cy="666751"/>
        </a:xfrm>
        <a:prstGeom prst="homePlate">
          <a:avLst/>
        </a:prstGeom>
        <a:gradFill>
          <a:gsLst>
            <a:gs pos="85000">
              <a:srgbClr val="0096CC"/>
            </a:gs>
            <a:gs pos="17000">
              <a:srgbClr val="00B0F0"/>
            </a:gs>
            <a:gs pos="0">
              <a:srgbClr val="007CA8"/>
            </a:gs>
            <a:gs pos="100000">
              <a:srgbClr val="007CA8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3600">
              <a:latin typeface="+mj-lt"/>
              <a:ea typeface="+mj-ea"/>
            </a:rPr>
            <a:t>04</a:t>
          </a:r>
          <a:r>
            <a:rPr lang="en-US" altLang="zh-CN" sz="2400">
              <a:latin typeface="+mj-lt"/>
              <a:ea typeface="+mj-ea"/>
            </a:rPr>
            <a:t> Enable Developer Tab</a:t>
          </a:r>
          <a:endParaRPr lang="en-US" sz="2400">
            <a:latin typeface="+mj-lt"/>
            <a:ea typeface="+mj-ea"/>
          </a:endParaRPr>
        </a:p>
      </xdr:txBody>
    </xdr:sp>
    <xdr:clientData/>
  </xdr:twoCellAnchor>
  <xdr:twoCellAnchor editAs="oneCell">
    <xdr:from>
      <xdr:col>6</xdr:col>
      <xdr:colOff>428625</xdr:colOff>
      <xdr:row>14</xdr:row>
      <xdr:rowOff>64591</xdr:rowOff>
    </xdr:from>
    <xdr:to>
      <xdr:col>14</xdr:col>
      <xdr:colOff>257051</xdr:colOff>
      <xdr:row>34</xdr:row>
      <xdr:rowOff>28575</xdr:rowOff>
    </xdr:to>
    <xdr:pic>
      <xdr:nvPicPr>
        <xdr:cNvPr id="5" name="Picture 4" descr="Microsoft Excel">
          <a:extLst>
            <a:ext uri="{FF2B5EF4-FFF2-40B4-BE49-F238E27FC236}">
              <a16:creationId xmlns:a16="http://schemas.microsoft.com/office/drawing/2014/main" id="{C6392335-673A-4682-9D33-8028905206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6225" y="2741116"/>
          <a:ext cx="4705226" cy="37739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114300</xdr:colOff>
      <xdr:row>13</xdr:row>
      <xdr:rowOff>179561</xdr:rowOff>
    </xdr:from>
    <xdr:to>
      <xdr:col>25</xdr:col>
      <xdr:colOff>0</xdr:colOff>
      <xdr:row>34</xdr:row>
      <xdr:rowOff>2871</xdr:rowOff>
    </xdr:to>
    <xdr:pic>
      <xdr:nvPicPr>
        <xdr:cNvPr id="6" name="Picture 5" descr="Microsoft Excel">
          <a:extLst>
            <a:ext uri="{FF2B5EF4-FFF2-40B4-BE49-F238E27FC236}">
              <a16:creationId xmlns:a16="http://schemas.microsoft.com/office/drawing/2014/main" id="{CB39FF10-ECCD-438C-BD19-B62F5C05C0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67900" y="2656061"/>
          <a:ext cx="5372100" cy="382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</xdr:colOff>
      <xdr:row>34</xdr:row>
      <xdr:rowOff>47625</xdr:rowOff>
    </xdr:from>
    <xdr:to>
      <xdr:col>6</xdr:col>
      <xdr:colOff>266701</xdr:colOff>
      <xdr:row>37</xdr:row>
      <xdr:rowOff>142876</xdr:rowOff>
    </xdr:to>
    <xdr:sp macro="" textlink="">
      <xdr:nvSpPr>
        <xdr:cNvPr id="7" name="Arrow: Pentagon 6">
          <a:extLst>
            <a:ext uri="{FF2B5EF4-FFF2-40B4-BE49-F238E27FC236}">
              <a16:creationId xmlns:a16="http://schemas.microsoft.com/office/drawing/2014/main" id="{724191E6-3012-471A-8AA9-AE2AC00C824A}"/>
            </a:ext>
          </a:extLst>
        </xdr:cNvPr>
        <xdr:cNvSpPr/>
      </xdr:nvSpPr>
      <xdr:spPr>
        <a:xfrm>
          <a:off x="1" y="6534150"/>
          <a:ext cx="3924300" cy="666751"/>
        </a:xfrm>
        <a:prstGeom prst="homePlate">
          <a:avLst/>
        </a:prstGeom>
        <a:gradFill>
          <a:gsLst>
            <a:gs pos="85000">
              <a:srgbClr val="0096CC"/>
            </a:gs>
            <a:gs pos="17000">
              <a:srgbClr val="00B0F0"/>
            </a:gs>
            <a:gs pos="0">
              <a:srgbClr val="007CA8"/>
            </a:gs>
            <a:gs pos="100000">
              <a:srgbClr val="007CA8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3600">
              <a:latin typeface="+mj-lt"/>
              <a:ea typeface="+mj-ea"/>
            </a:rPr>
            <a:t>05</a:t>
          </a:r>
          <a:r>
            <a:rPr lang="en-US" altLang="zh-CN" sz="2400">
              <a:latin typeface="+mj-lt"/>
              <a:ea typeface="+mj-ea"/>
            </a:rPr>
            <a:t> Open Macros Window</a:t>
          </a:r>
          <a:endParaRPr lang="en-US" sz="2400">
            <a:latin typeface="+mj-lt"/>
            <a:ea typeface="+mj-ea"/>
          </a:endParaRPr>
        </a:p>
      </xdr:txBody>
    </xdr:sp>
    <xdr:clientData/>
  </xdr:twoCellAnchor>
  <xdr:twoCellAnchor editAs="oneCell">
    <xdr:from>
      <xdr:col>7</xdr:col>
      <xdr:colOff>19050</xdr:colOff>
      <xdr:row>36</xdr:row>
      <xdr:rowOff>28575</xdr:rowOff>
    </xdr:from>
    <xdr:to>
      <xdr:col>21</xdr:col>
      <xdr:colOff>256078</xdr:colOff>
      <xdr:row>42</xdr:row>
      <xdr:rowOff>133194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EB5EE4D-A4DA-4B6A-A0E9-2FBB7A44C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86250" y="6896100"/>
          <a:ext cx="8771428" cy="124761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43</xdr:row>
      <xdr:rowOff>85725</xdr:rowOff>
    </xdr:from>
    <xdr:to>
      <xdr:col>4</xdr:col>
      <xdr:colOff>523874</xdr:colOff>
      <xdr:row>46</xdr:row>
      <xdr:rowOff>180976</xdr:rowOff>
    </xdr:to>
    <xdr:sp macro="" textlink="">
      <xdr:nvSpPr>
        <xdr:cNvPr id="10" name="Arrow: Pentagon 9">
          <a:extLst>
            <a:ext uri="{FF2B5EF4-FFF2-40B4-BE49-F238E27FC236}">
              <a16:creationId xmlns:a16="http://schemas.microsoft.com/office/drawing/2014/main" id="{6BDBAD39-FF0F-4C02-BB73-AD4D1189A19B}"/>
            </a:ext>
          </a:extLst>
        </xdr:cNvPr>
        <xdr:cNvSpPr/>
      </xdr:nvSpPr>
      <xdr:spPr>
        <a:xfrm>
          <a:off x="0" y="8286750"/>
          <a:ext cx="2962274" cy="666751"/>
        </a:xfrm>
        <a:prstGeom prst="homePlate">
          <a:avLst/>
        </a:prstGeom>
        <a:gradFill>
          <a:gsLst>
            <a:gs pos="85000">
              <a:srgbClr val="0096CC"/>
            </a:gs>
            <a:gs pos="17000">
              <a:srgbClr val="00B0F0"/>
            </a:gs>
            <a:gs pos="0">
              <a:srgbClr val="007CA8"/>
            </a:gs>
            <a:gs pos="100000">
              <a:srgbClr val="007CA8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3600">
              <a:latin typeface="+mj-lt"/>
              <a:ea typeface="+mj-ea"/>
            </a:rPr>
            <a:t>06</a:t>
          </a:r>
          <a:r>
            <a:rPr lang="en-US" altLang="zh-CN" sz="2400">
              <a:latin typeface="+mj-lt"/>
              <a:ea typeface="+mj-ea"/>
            </a:rPr>
            <a:t> Run the Macro</a:t>
          </a:r>
          <a:endParaRPr lang="en-US" sz="2400">
            <a:latin typeface="+mj-lt"/>
            <a:ea typeface="+mj-ea"/>
          </a:endParaRPr>
        </a:p>
      </xdr:txBody>
    </xdr:sp>
    <xdr:clientData/>
  </xdr:twoCellAnchor>
  <xdr:twoCellAnchor>
    <xdr:from>
      <xdr:col>0</xdr:col>
      <xdr:colOff>0</xdr:colOff>
      <xdr:row>65</xdr:row>
      <xdr:rowOff>66675</xdr:rowOff>
    </xdr:from>
    <xdr:to>
      <xdr:col>9</xdr:col>
      <xdr:colOff>295274</xdr:colOff>
      <xdr:row>68</xdr:row>
      <xdr:rowOff>161926</xdr:rowOff>
    </xdr:to>
    <xdr:sp macro="" textlink="">
      <xdr:nvSpPr>
        <xdr:cNvPr id="11" name="Arrow: Pentagon 10">
          <a:extLst>
            <a:ext uri="{FF2B5EF4-FFF2-40B4-BE49-F238E27FC236}">
              <a16:creationId xmlns:a16="http://schemas.microsoft.com/office/drawing/2014/main" id="{0D333FE2-705C-4AD2-B04F-1B91D3E733BB}"/>
            </a:ext>
          </a:extLst>
        </xdr:cNvPr>
        <xdr:cNvSpPr/>
      </xdr:nvSpPr>
      <xdr:spPr>
        <a:xfrm>
          <a:off x="0" y="12458700"/>
          <a:ext cx="5781674" cy="666751"/>
        </a:xfrm>
        <a:prstGeom prst="homePlate">
          <a:avLst/>
        </a:prstGeom>
        <a:gradFill>
          <a:gsLst>
            <a:gs pos="85000">
              <a:srgbClr val="0096CC"/>
            </a:gs>
            <a:gs pos="17000">
              <a:srgbClr val="00B0F0"/>
            </a:gs>
            <a:gs pos="0">
              <a:srgbClr val="007CA8"/>
            </a:gs>
            <a:gs pos="100000">
              <a:srgbClr val="007CA8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3600">
              <a:latin typeface="+mj-lt"/>
              <a:ea typeface="+mj-ea"/>
            </a:rPr>
            <a:t>07</a:t>
          </a:r>
          <a:r>
            <a:rPr lang="en-US" altLang="zh-CN" sz="2400">
              <a:latin typeface="+mj-lt"/>
              <a:ea typeface="+mj-ea"/>
            </a:rPr>
            <a:t> Open the Folder containg the results.</a:t>
          </a:r>
          <a:endParaRPr lang="en-US" sz="2400">
            <a:latin typeface="+mj-lt"/>
            <a:ea typeface="+mj-ea"/>
          </a:endParaRPr>
        </a:p>
      </xdr:txBody>
    </xdr:sp>
    <xdr:clientData/>
  </xdr:twoCellAnchor>
  <xdr:twoCellAnchor>
    <xdr:from>
      <xdr:col>0</xdr:col>
      <xdr:colOff>0</xdr:colOff>
      <xdr:row>93</xdr:row>
      <xdr:rowOff>9525</xdr:rowOff>
    </xdr:from>
    <xdr:to>
      <xdr:col>10</xdr:col>
      <xdr:colOff>419100</xdr:colOff>
      <xdr:row>96</xdr:row>
      <xdr:rowOff>104776</xdr:rowOff>
    </xdr:to>
    <xdr:sp macro="" textlink="">
      <xdr:nvSpPr>
        <xdr:cNvPr id="15" name="Arrow: Pentagon 14">
          <a:extLst>
            <a:ext uri="{FF2B5EF4-FFF2-40B4-BE49-F238E27FC236}">
              <a16:creationId xmlns:a16="http://schemas.microsoft.com/office/drawing/2014/main" id="{9ED51218-A736-45A8-99C8-D6DB8A9B4C31}"/>
            </a:ext>
          </a:extLst>
        </xdr:cNvPr>
        <xdr:cNvSpPr/>
      </xdr:nvSpPr>
      <xdr:spPr>
        <a:xfrm>
          <a:off x="0" y="17735550"/>
          <a:ext cx="6515100" cy="666751"/>
        </a:xfrm>
        <a:prstGeom prst="homePlate">
          <a:avLst/>
        </a:prstGeom>
        <a:gradFill>
          <a:gsLst>
            <a:gs pos="85000">
              <a:srgbClr val="0096CC"/>
            </a:gs>
            <a:gs pos="17000">
              <a:srgbClr val="00B0F0"/>
            </a:gs>
            <a:gs pos="0">
              <a:srgbClr val="007CA8"/>
            </a:gs>
            <a:gs pos="100000">
              <a:srgbClr val="007CA8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3600">
              <a:latin typeface="+mj-lt"/>
              <a:ea typeface="+mj-ea"/>
            </a:rPr>
            <a:t>08</a:t>
          </a:r>
          <a:r>
            <a:rPr lang="en-US" altLang="zh-CN" sz="2400">
              <a:solidFill>
                <a:schemeClr val="lt1"/>
              </a:solidFill>
              <a:latin typeface="+mj-lt"/>
              <a:ea typeface="+mj-ea"/>
              <a:cs typeface="+mn-cs"/>
            </a:rPr>
            <a:t> The results will show in the "Summary" tab </a:t>
          </a:r>
          <a:endParaRPr lang="en-US" sz="2400">
            <a:solidFill>
              <a:schemeClr val="lt1"/>
            </a:solidFill>
            <a:latin typeface="+mj-lt"/>
            <a:ea typeface="+mj-ea"/>
            <a:cs typeface="+mn-cs"/>
          </a:endParaRPr>
        </a:p>
      </xdr:txBody>
    </xdr:sp>
    <xdr:clientData/>
  </xdr:twoCellAnchor>
  <xdr:twoCellAnchor editAs="oneCell">
    <xdr:from>
      <xdr:col>9</xdr:col>
      <xdr:colOff>438150</xdr:colOff>
      <xdr:row>65</xdr:row>
      <xdr:rowOff>28575</xdr:rowOff>
    </xdr:from>
    <xdr:to>
      <xdr:col>24</xdr:col>
      <xdr:colOff>141769</xdr:colOff>
      <xdr:row>91</xdr:row>
      <xdr:rowOff>123194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A82A739-2453-4EA8-B50C-996444500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4550" y="12420600"/>
          <a:ext cx="8847619" cy="504761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142875</xdr:rowOff>
    </xdr:from>
    <xdr:to>
      <xdr:col>9</xdr:col>
      <xdr:colOff>590550</xdr:colOff>
      <xdr:row>6</xdr:row>
      <xdr:rowOff>38101</xdr:rowOff>
    </xdr:to>
    <xdr:sp macro="" textlink="">
      <xdr:nvSpPr>
        <xdr:cNvPr id="20" name="Arrow: Pentagon 19">
          <a:extLst>
            <a:ext uri="{FF2B5EF4-FFF2-40B4-BE49-F238E27FC236}">
              <a16:creationId xmlns:a16="http://schemas.microsoft.com/office/drawing/2014/main" id="{ED2E6EE6-2D7D-4571-A190-D52F7B27E647}"/>
            </a:ext>
          </a:extLst>
        </xdr:cNvPr>
        <xdr:cNvSpPr/>
      </xdr:nvSpPr>
      <xdr:spPr>
        <a:xfrm>
          <a:off x="0" y="523875"/>
          <a:ext cx="6076950" cy="657226"/>
        </a:xfrm>
        <a:prstGeom prst="homePlate">
          <a:avLst/>
        </a:prstGeom>
        <a:gradFill>
          <a:gsLst>
            <a:gs pos="85000">
              <a:srgbClr val="0096CC"/>
            </a:gs>
            <a:gs pos="17000">
              <a:srgbClr val="00B0F0"/>
            </a:gs>
            <a:gs pos="0">
              <a:srgbClr val="007CA8"/>
            </a:gs>
            <a:gs pos="100000">
              <a:srgbClr val="007CA8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3600">
              <a:latin typeface="+mj-lt"/>
              <a:ea typeface="+mj-ea"/>
            </a:rPr>
            <a:t>01</a:t>
          </a:r>
          <a:r>
            <a:rPr lang="en-US" altLang="zh-CN" sz="2400">
              <a:latin typeface="+mj-lt"/>
              <a:ea typeface="+mj-ea"/>
            </a:rPr>
            <a:t> Save</a:t>
          </a:r>
          <a:r>
            <a:rPr lang="en-US" altLang="zh-CN" sz="2400" baseline="0">
              <a:latin typeface="+mj-lt"/>
              <a:ea typeface="+mj-ea"/>
            </a:rPr>
            <a:t> the HCS report results as txt files </a:t>
          </a:r>
          <a:endParaRPr lang="en-US" sz="2400">
            <a:latin typeface="+mj-lt"/>
            <a:ea typeface="+mj-ea"/>
          </a:endParaRPr>
        </a:p>
      </xdr:txBody>
    </xdr:sp>
    <xdr:clientData/>
  </xdr:twoCellAnchor>
  <xdr:twoCellAnchor editAs="oneCell">
    <xdr:from>
      <xdr:col>5</xdr:col>
      <xdr:colOff>295275</xdr:colOff>
      <xdr:row>43</xdr:row>
      <xdr:rowOff>123825</xdr:rowOff>
    </xdr:from>
    <xdr:to>
      <xdr:col>11</xdr:col>
      <xdr:colOff>371008</xdr:colOff>
      <xdr:row>61</xdr:row>
      <xdr:rowOff>161492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3EDA2E6-DE90-4C40-B20E-A86BF4429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43275" y="8315325"/>
          <a:ext cx="3733333" cy="34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408216</xdr:colOff>
      <xdr:row>30</xdr:row>
      <xdr:rowOff>25274</xdr:rowOff>
    </xdr:from>
    <xdr:to>
      <xdr:col>28</xdr:col>
      <xdr:colOff>382816</xdr:colOff>
      <xdr:row>34</xdr:row>
      <xdr:rowOff>108858</xdr:rowOff>
    </xdr:to>
    <xdr:pic>
      <xdr:nvPicPr>
        <xdr:cNvPr id="2" name="Picture 1" descr="Image result for NORTH ARROW">
          <a:extLst>
            <a:ext uri="{FF2B5EF4-FFF2-40B4-BE49-F238E27FC236}">
              <a16:creationId xmlns:a16="http://schemas.microsoft.com/office/drawing/2014/main" id="{98E5A0F2-D499-4420-AC7D-8B350D007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00866" y="5797424"/>
          <a:ext cx="584200" cy="8455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1_1" connectionId="2" xr16:uid="{00000000-0016-0000-0000-000004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1" connectionId="1" xr16:uid="{00000000-0016-0000-0000-000003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1_4" connectionId="5" xr16:uid="{00000000-0016-0000-0000-000002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1_3" connectionId="4" xr16:uid="{00000000-0016-0000-0000-000001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1_2" connectionId="3" xr16:uid="{00000000-0016-0000-0000-000000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7"/>
  <sheetViews>
    <sheetView topLeftCell="A79" workbookViewId="0">
      <selection activeCell="M57" sqref="M57"/>
    </sheetView>
  </sheetViews>
  <sheetFormatPr defaultRowHeight="15" x14ac:dyDescent="0.25"/>
  <sheetData>
    <row r="1" spans="1:27" ht="15" customHeight="1" x14ac:dyDescent="0.25">
      <c r="A1" s="153" t="s">
        <v>2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</row>
    <row r="2" spans="1:27" ht="15" customHeight="1" x14ac:dyDescent="0.25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</row>
    <row r="45" spans="14:17" x14ac:dyDescent="0.25">
      <c r="N45" t="s">
        <v>93</v>
      </c>
    </row>
    <row r="46" spans="14:17" x14ac:dyDescent="0.25">
      <c r="N46" t="s">
        <v>94</v>
      </c>
      <c r="Q46" t="s">
        <v>96</v>
      </c>
    </row>
    <row r="47" spans="14:17" x14ac:dyDescent="0.25">
      <c r="N47" t="s">
        <v>95</v>
      </c>
    </row>
  </sheetData>
  <mergeCells count="1">
    <mergeCell ref="A1:AA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9"/>
  <sheetViews>
    <sheetView tabSelected="1" workbookViewId="0">
      <selection activeCell="B6" sqref="B6"/>
    </sheetView>
  </sheetViews>
  <sheetFormatPr defaultRowHeight="15" x14ac:dyDescent="0.25"/>
  <cols>
    <col min="1" max="1" width="5.140625" customWidth="1"/>
    <col min="2" max="2" width="165.7109375" customWidth="1"/>
  </cols>
  <sheetData>
    <row r="1" spans="1:2" x14ac:dyDescent="0.25">
      <c r="A1" s="152" t="s">
        <v>76</v>
      </c>
      <c r="B1" s="152" t="s">
        <v>70</v>
      </c>
    </row>
    <row r="2" spans="1:2" x14ac:dyDescent="0.25">
      <c r="A2">
        <v>1</v>
      </c>
      <c r="B2" t="s">
        <v>74</v>
      </c>
    </row>
    <row r="3" spans="1:2" x14ac:dyDescent="0.25">
      <c r="B3" t="s">
        <v>63</v>
      </c>
    </row>
    <row r="4" spans="1:2" x14ac:dyDescent="0.25">
      <c r="B4" t="s">
        <v>62</v>
      </c>
    </row>
    <row r="5" spans="1:2" x14ac:dyDescent="0.25">
      <c r="B5" t="s">
        <v>64</v>
      </c>
    </row>
    <row r="6" spans="1:2" x14ac:dyDescent="0.25">
      <c r="A6">
        <v>2</v>
      </c>
      <c r="B6" t="s">
        <v>72</v>
      </c>
    </row>
    <row r="7" spans="1:2" x14ac:dyDescent="0.25">
      <c r="B7" t="s">
        <v>65</v>
      </c>
    </row>
    <row r="8" spans="1:2" x14ac:dyDescent="0.25">
      <c r="A8">
        <v>3</v>
      </c>
      <c r="B8" t="s">
        <v>66</v>
      </c>
    </row>
    <row r="9" spans="1:2" x14ac:dyDescent="0.25">
      <c r="A9">
        <v>4</v>
      </c>
      <c r="B9" t="s">
        <v>67</v>
      </c>
    </row>
    <row r="10" spans="1:2" x14ac:dyDescent="0.25">
      <c r="B10" t="s">
        <v>68</v>
      </c>
    </row>
    <row r="11" spans="1:2" x14ac:dyDescent="0.25">
      <c r="B11" t="s">
        <v>69</v>
      </c>
    </row>
    <row r="12" spans="1:2" x14ac:dyDescent="0.25">
      <c r="A12" s="152" t="s">
        <v>77</v>
      </c>
      <c r="B12" s="152" t="s">
        <v>71</v>
      </c>
    </row>
    <row r="13" spans="1:2" x14ac:dyDescent="0.25">
      <c r="A13">
        <v>1</v>
      </c>
      <c r="B13" t="s">
        <v>73</v>
      </c>
    </row>
    <row r="14" spans="1:2" x14ac:dyDescent="0.25">
      <c r="B14" t="s">
        <v>75</v>
      </c>
    </row>
    <row r="15" spans="1:2" x14ac:dyDescent="0.25">
      <c r="B15" t="s">
        <v>78</v>
      </c>
    </row>
    <row r="16" spans="1:2" x14ac:dyDescent="0.25">
      <c r="B16" t="s">
        <v>79</v>
      </c>
    </row>
    <row r="17" spans="1:2" x14ac:dyDescent="0.25">
      <c r="B17" t="s">
        <v>80</v>
      </c>
    </row>
    <row r="18" spans="1:2" x14ac:dyDescent="0.25">
      <c r="A18">
        <v>2</v>
      </c>
      <c r="B18" t="s">
        <v>81</v>
      </c>
    </row>
    <row r="19" spans="1:2" x14ac:dyDescent="0.25">
      <c r="B19" t="s">
        <v>82</v>
      </c>
    </row>
    <row r="20" spans="1:2" x14ac:dyDescent="0.25">
      <c r="A20">
        <v>3</v>
      </c>
      <c r="B20" t="s">
        <v>83</v>
      </c>
    </row>
    <row r="21" spans="1:2" x14ac:dyDescent="0.25">
      <c r="B21" t="s">
        <v>84</v>
      </c>
    </row>
    <row r="22" spans="1:2" x14ac:dyDescent="0.25">
      <c r="A22">
        <v>4</v>
      </c>
      <c r="B22" t="s">
        <v>85</v>
      </c>
    </row>
    <row r="23" spans="1:2" x14ac:dyDescent="0.25">
      <c r="A23">
        <v>5</v>
      </c>
      <c r="B23" t="s">
        <v>87</v>
      </c>
    </row>
    <row r="24" spans="1:2" x14ac:dyDescent="0.25">
      <c r="B24" t="s">
        <v>86</v>
      </c>
    </row>
    <row r="25" spans="1:2" x14ac:dyDescent="0.25">
      <c r="A25">
        <v>6</v>
      </c>
      <c r="B25" t="s">
        <v>88</v>
      </c>
    </row>
    <row r="26" spans="1:2" x14ac:dyDescent="0.25">
      <c r="A26">
        <v>7</v>
      </c>
      <c r="B26" t="s">
        <v>89</v>
      </c>
    </row>
    <row r="27" spans="1:2" x14ac:dyDescent="0.25">
      <c r="A27">
        <v>8</v>
      </c>
      <c r="B27" t="s">
        <v>90</v>
      </c>
    </row>
    <row r="28" spans="1:2" x14ac:dyDescent="0.25">
      <c r="B28" t="s">
        <v>91</v>
      </c>
    </row>
    <row r="29" spans="1:2" x14ac:dyDescent="0.25">
      <c r="B29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Z50"/>
  <sheetViews>
    <sheetView workbookViewId="0">
      <selection activeCell="T20" sqref="T20"/>
    </sheetView>
  </sheetViews>
  <sheetFormatPr defaultRowHeight="15" x14ac:dyDescent="0.25"/>
  <cols>
    <col min="1" max="1" width="23.140625" style="9" customWidth="1"/>
    <col min="2" max="21" width="9.140625" style="9"/>
    <col min="51" max="51" width="10" customWidth="1"/>
    <col min="55" max="55" width="9.7109375" customWidth="1"/>
  </cols>
  <sheetData>
    <row r="1" spans="1:128" s="5" customFormat="1" x14ac:dyDescent="0.25">
      <c r="A1" s="2"/>
      <c r="B1" s="3"/>
      <c r="C1" s="3"/>
      <c r="D1" s="3"/>
      <c r="E1" s="3"/>
      <c r="F1" s="3"/>
      <c r="G1" s="3"/>
      <c r="H1" s="3"/>
      <c r="I1" s="3"/>
      <c r="J1" s="4"/>
      <c r="K1" s="3"/>
      <c r="L1" s="3"/>
      <c r="M1" s="3"/>
      <c r="N1" s="3"/>
      <c r="O1" s="3"/>
      <c r="P1" s="3"/>
      <c r="Q1" s="4"/>
      <c r="R1" s="3"/>
      <c r="S1" s="3"/>
      <c r="T1" s="3"/>
      <c r="U1" s="3"/>
      <c r="X1" s="6"/>
      <c r="AF1" s="6"/>
      <c r="AN1" s="6"/>
      <c r="AO1" s="7"/>
      <c r="AW1" s="6"/>
      <c r="BE1" s="6"/>
      <c r="BF1" s="7"/>
      <c r="BO1" s="6"/>
      <c r="BW1" s="6"/>
      <c r="BX1" s="7"/>
      <c r="CF1" s="6"/>
      <c r="CG1" s="7"/>
      <c r="CQ1" s="6"/>
      <c r="CX1" s="7"/>
      <c r="CY1" s="7"/>
      <c r="DB1" s="6"/>
      <c r="DJ1" s="8"/>
      <c r="DT1" s="8"/>
    </row>
    <row r="2" spans="1:128" s="5" customFormat="1" x14ac:dyDescent="0.25">
      <c r="A2" s="2"/>
      <c r="B2" s="3"/>
      <c r="C2" s="3"/>
      <c r="D2" s="3"/>
      <c r="E2" s="3"/>
      <c r="F2" s="3"/>
      <c r="G2" s="3"/>
      <c r="H2" s="3"/>
      <c r="I2" s="3"/>
      <c r="J2" s="4"/>
      <c r="K2" s="3"/>
      <c r="L2" s="3"/>
      <c r="M2" s="3"/>
      <c r="N2" s="3"/>
      <c r="O2" s="3"/>
      <c r="P2" s="3"/>
      <c r="Q2" s="4"/>
      <c r="R2" s="3"/>
      <c r="S2" s="3"/>
      <c r="T2" s="3"/>
      <c r="U2" s="3"/>
      <c r="X2" s="6"/>
      <c r="AF2" s="6"/>
      <c r="AN2" s="6"/>
      <c r="AO2" s="7"/>
      <c r="AW2" s="6"/>
      <c r="BE2" s="6"/>
      <c r="BF2" s="7"/>
      <c r="BO2" s="6"/>
      <c r="BW2" s="6"/>
      <c r="BX2" s="7"/>
      <c r="CF2" s="6"/>
      <c r="CG2" s="7"/>
      <c r="CQ2" s="6"/>
      <c r="CX2" s="7"/>
      <c r="CY2" s="7"/>
      <c r="DB2" s="6"/>
      <c r="DJ2" s="8"/>
      <c r="DT2" s="8"/>
    </row>
    <row r="3" spans="1:128" ht="15.75" x14ac:dyDescent="0.25">
      <c r="A3" s="2" t="s">
        <v>5</v>
      </c>
      <c r="D3" s="9" t="s">
        <v>5</v>
      </c>
      <c r="I3" s="9" t="s">
        <v>5</v>
      </c>
      <c r="J3" s="10"/>
      <c r="M3" s="9" t="s">
        <v>5</v>
      </c>
      <c r="Q3" s="10"/>
      <c r="R3" s="9" t="s">
        <v>5</v>
      </c>
      <c r="T3" s="9" t="s">
        <v>5</v>
      </c>
      <c r="U3" s="9" t="s">
        <v>5</v>
      </c>
      <c r="X3" s="11"/>
      <c r="Y3" t="s">
        <v>6</v>
      </c>
      <c r="AB3" t="s">
        <v>7</v>
      </c>
      <c r="AE3" t="s">
        <v>8</v>
      </c>
      <c r="AF3" s="11"/>
      <c r="AG3" t="s">
        <v>9</v>
      </c>
      <c r="AI3" s="12"/>
      <c r="AM3" s="12" t="s">
        <v>10</v>
      </c>
      <c r="AN3" s="11"/>
      <c r="AO3" s="13"/>
      <c r="AP3" t="s">
        <v>11</v>
      </c>
      <c r="AR3" s="12"/>
      <c r="AV3" s="12" t="s">
        <v>12</v>
      </c>
      <c r="AW3" s="11"/>
      <c r="AX3" t="s">
        <v>13</v>
      </c>
      <c r="AY3" s="14"/>
      <c r="AZ3" s="12"/>
      <c r="BC3" s="14"/>
      <c r="BD3" s="12" t="s">
        <v>14</v>
      </c>
      <c r="BE3" s="15"/>
      <c r="BF3" s="12"/>
      <c r="BG3" t="s">
        <v>15</v>
      </c>
      <c r="BI3" s="12"/>
      <c r="BM3" s="12"/>
      <c r="BN3" s="12" t="s">
        <v>16</v>
      </c>
      <c r="BO3" s="11"/>
      <c r="BP3" t="s">
        <v>17</v>
      </c>
      <c r="BQ3" s="12"/>
      <c r="BR3" s="12"/>
      <c r="BV3" s="12" t="s">
        <v>18</v>
      </c>
      <c r="BW3" s="15"/>
      <c r="BX3" s="12"/>
      <c r="BY3" t="s">
        <v>19</v>
      </c>
      <c r="CA3" s="12"/>
      <c r="CE3" s="12" t="s">
        <v>20</v>
      </c>
      <c r="CF3" s="15"/>
      <c r="CG3" s="12"/>
      <c r="CH3" t="s">
        <v>21</v>
      </c>
      <c r="CJ3" s="12"/>
      <c r="CN3" s="12"/>
      <c r="CO3" s="12" t="s">
        <v>22</v>
      </c>
      <c r="CP3" s="12"/>
      <c r="CQ3" s="11"/>
      <c r="CS3" s="12"/>
      <c r="CT3" s="12" t="s">
        <v>23</v>
      </c>
      <c r="CV3" t="s">
        <v>24</v>
      </c>
      <c r="CW3" s="12"/>
      <c r="CX3" s="12"/>
      <c r="CY3" s="12"/>
      <c r="DA3" t="s">
        <v>25</v>
      </c>
      <c r="DB3" s="11"/>
      <c r="DC3" t="s">
        <v>5</v>
      </c>
      <c r="DI3" t="s">
        <v>5</v>
      </c>
      <c r="DJ3" s="16" t="s">
        <v>5</v>
      </c>
      <c r="DM3" t="s">
        <v>5</v>
      </c>
      <c r="DN3" t="s">
        <v>5</v>
      </c>
      <c r="DS3" t="s">
        <v>5</v>
      </c>
      <c r="DT3" s="16"/>
      <c r="DU3" s="17" t="s">
        <v>26</v>
      </c>
    </row>
    <row r="4" spans="1:128" ht="15.75" thickBot="1" x14ac:dyDescent="0.3">
      <c r="A4" s="2" t="s">
        <v>27</v>
      </c>
      <c r="B4" s="18"/>
      <c r="C4" s="18"/>
      <c r="D4" s="18"/>
      <c r="E4" s="18"/>
      <c r="F4" s="18"/>
      <c r="G4" s="18"/>
      <c r="H4" s="18"/>
      <c r="I4" s="18"/>
      <c r="J4" s="19" t="s">
        <v>28</v>
      </c>
      <c r="K4" s="18"/>
      <c r="L4" s="18"/>
      <c r="M4" s="18"/>
      <c r="N4" s="18"/>
      <c r="O4" s="18"/>
      <c r="P4" s="18"/>
      <c r="Q4" s="19" t="s">
        <v>29</v>
      </c>
      <c r="R4" s="18"/>
      <c r="S4" s="18"/>
      <c r="T4" s="18"/>
      <c r="U4" s="18"/>
      <c r="V4" s="20"/>
      <c r="W4" s="21"/>
      <c r="X4" s="22" t="s">
        <v>30</v>
      </c>
      <c r="Y4" s="21"/>
      <c r="Z4" s="21"/>
      <c r="AA4" s="21"/>
      <c r="AB4" s="21"/>
      <c r="AC4" s="21"/>
      <c r="AD4" s="21"/>
      <c r="AE4" s="21"/>
      <c r="AF4" s="23" t="s">
        <v>31</v>
      </c>
      <c r="AG4" s="21"/>
      <c r="AH4" s="21"/>
      <c r="AI4" s="21"/>
      <c r="AJ4" s="21"/>
      <c r="AK4" s="21"/>
      <c r="AL4" s="21"/>
      <c r="AM4" s="21"/>
      <c r="AN4" s="23" t="s">
        <v>32</v>
      </c>
      <c r="AO4" s="21"/>
      <c r="AP4" s="21"/>
      <c r="AQ4" s="21"/>
      <c r="AR4" s="21"/>
      <c r="AS4" s="21"/>
      <c r="AT4" s="21"/>
      <c r="AU4" s="21"/>
      <c r="AV4" s="21"/>
      <c r="AW4" s="23" t="s">
        <v>33</v>
      </c>
      <c r="AX4" s="21"/>
      <c r="AY4" s="21"/>
      <c r="AZ4" s="21"/>
      <c r="BA4" s="21"/>
      <c r="BB4" s="21"/>
      <c r="BC4" s="21"/>
      <c r="BD4" s="21"/>
      <c r="BE4" s="23" t="s">
        <v>34</v>
      </c>
      <c r="BF4" s="21"/>
      <c r="BG4" s="21"/>
      <c r="BH4" s="21"/>
      <c r="BI4" s="21"/>
      <c r="BJ4" s="21"/>
      <c r="BK4" s="21"/>
      <c r="BL4" s="21"/>
      <c r="BM4" s="21"/>
      <c r="BN4" s="21"/>
      <c r="BO4" s="23" t="s">
        <v>35</v>
      </c>
      <c r="BP4" s="21"/>
      <c r="BQ4" s="21"/>
      <c r="BR4" s="21"/>
      <c r="BS4" s="21"/>
      <c r="BT4" s="21"/>
      <c r="BU4" s="21"/>
      <c r="BV4" s="21"/>
      <c r="BW4" s="23" t="s">
        <v>36</v>
      </c>
      <c r="BX4" s="21"/>
      <c r="BY4" s="21"/>
      <c r="BZ4" s="21"/>
      <c r="CA4" s="21"/>
      <c r="CB4" s="21"/>
      <c r="CC4" s="21"/>
      <c r="CD4" s="21"/>
      <c r="CE4" s="21"/>
      <c r="CF4" s="23" t="s">
        <v>37</v>
      </c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3" t="s">
        <v>38</v>
      </c>
      <c r="CR4" s="21"/>
      <c r="CS4" s="13"/>
      <c r="CT4" s="13"/>
      <c r="CU4" s="13"/>
      <c r="CV4" s="13"/>
      <c r="CW4" s="13"/>
      <c r="CX4" s="21"/>
      <c r="CY4" s="21"/>
      <c r="CZ4" s="21"/>
      <c r="DA4" s="21"/>
      <c r="DB4" s="23" t="s">
        <v>39</v>
      </c>
      <c r="DC4" s="21"/>
      <c r="DD4" s="21"/>
      <c r="DE4" s="21"/>
      <c r="DF4" s="21"/>
      <c r="DG4" s="21"/>
      <c r="DH4" s="21"/>
      <c r="DI4" s="21"/>
      <c r="DJ4" s="24" t="s">
        <v>40</v>
      </c>
      <c r="DK4" s="20"/>
      <c r="DL4" s="20"/>
      <c r="DM4" s="20"/>
      <c r="DN4" s="20"/>
      <c r="DO4" s="20"/>
      <c r="DP4" s="20"/>
      <c r="DQ4" s="20"/>
      <c r="DR4" s="20"/>
      <c r="DS4" s="20"/>
      <c r="DT4" s="25" t="s">
        <v>41</v>
      </c>
      <c r="DU4" s="26" t="s">
        <v>26</v>
      </c>
      <c r="DV4" s="20"/>
      <c r="DW4" s="20"/>
      <c r="DX4" s="20"/>
    </row>
    <row r="5" spans="1:128" x14ac:dyDescent="0.25">
      <c r="A5" s="2"/>
      <c r="F5" s="27"/>
      <c r="H5" s="28"/>
      <c r="J5" s="10"/>
      <c r="O5" s="27"/>
      <c r="Q5" s="29"/>
      <c r="S5" s="28"/>
      <c r="W5" s="30"/>
      <c r="X5" s="11"/>
      <c r="AA5" s="31"/>
      <c r="AB5" s="13"/>
      <c r="AD5" s="32"/>
      <c r="AF5" s="11"/>
      <c r="AI5" s="31"/>
      <c r="AJ5" s="13"/>
      <c r="AL5" s="32"/>
      <c r="AN5" s="11"/>
      <c r="AO5" s="13"/>
      <c r="AR5" s="31"/>
      <c r="AS5" s="13"/>
      <c r="AU5" s="32"/>
      <c r="AW5" s="11"/>
      <c r="AZ5" s="31"/>
      <c r="BA5" s="13"/>
      <c r="BC5" s="32"/>
      <c r="BE5" s="11"/>
      <c r="BF5" s="13"/>
      <c r="BI5" s="31"/>
      <c r="BJ5" s="13"/>
      <c r="BM5" s="32"/>
      <c r="BO5" s="11"/>
      <c r="BR5" s="31"/>
      <c r="BS5" s="13"/>
      <c r="BU5" s="32"/>
      <c r="BW5" s="11"/>
      <c r="BX5" s="13"/>
      <c r="CA5" s="31"/>
      <c r="CB5" s="13"/>
      <c r="CD5" s="32"/>
      <c r="CF5" s="11"/>
      <c r="CG5" s="13"/>
      <c r="CJ5" s="31"/>
      <c r="CK5" s="13"/>
      <c r="CN5" s="32"/>
      <c r="CQ5" s="11"/>
      <c r="CS5" s="32"/>
      <c r="CV5" s="13"/>
      <c r="CW5" s="31"/>
      <c r="CX5" s="13"/>
      <c r="CY5" s="13"/>
      <c r="CZ5" s="32"/>
      <c r="DB5" s="11"/>
      <c r="DE5" s="31"/>
      <c r="DF5" s="13"/>
      <c r="DH5" s="32"/>
      <c r="DJ5" s="16"/>
      <c r="DL5" s="33"/>
      <c r="DP5" s="34"/>
      <c r="DR5" s="33"/>
      <c r="DT5" s="16"/>
    </row>
    <row r="6" spans="1:128" s="5" customFormat="1" ht="15.75" thickBot="1" x14ac:dyDescent="0.3">
      <c r="A6" s="2"/>
      <c r="B6" s="35"/>
      <c r="C6" s="36"/>
      <c r="D6" s="35"/>
      <c r="E6" s="37"/>
      <c r="F6" s="35"/>
      <c r="G6" s="35"/>
      <c r="H6" s="36">
        <v>2740.0001525878906</v>
      </c>
      <c r="I6" s="38"/>
      <c r="J6" s="39"/>
      <c r="K6" s="35"/>
      <c r="L6" s="36">
        <v>2169.9999999999991</v>
      </c>
      <c r="M6" s="35"/>
      <c r="N6" s="37"/>
      <c r="O6" s="35"/>
      <c r="P6" s="35"/>
      <c r="Q6" s="40">
        <v>3730.0003051757813</v>
      </c>
      <c r="R6" s="38"/>
      <c r="S6" s="36">
        <v>1019.9999999999989</v>
      </c>
      <c r="T6" s="41">
        <v>1630.0003051757813</v>
      </c>
      <c r="U6" s="35"/>
      <c r="V6" s="42"/>
      <c r="W6" s="43"/>
      <c r="X6" s="44">
        <v>3290.0000000000005</v>
      </c>
      <c r="Y6" s="45"/>
      <c r="Z6" s="46"/>
      <c r="AA6" s="47">
        <v>2760.0006103515625</v>
      </c>
      <c r="AB6" s="45"/>
      <c r="AC6" s="43"/>
      <c r="AD6" s="47">
        <v>1110.0000000000023</v>
      </c>
      <c r="AE6" s="48"/>
      <c r="AF6" s="44">
        <v>3229.9993896484352</v>
      </c>
      <c r="AG6" s="45"/>
      <c r="AH6" s="46"/>
      <c r="AI6" s="45"/>
      <c r="AJ6" s="45"/>
      <c r="AK6" s="43"/>
      <c r="AL6" s="47">
        <v>4760.0006103515625</v>
      </c>
      <c r="AM6" s="48"/>
      <c r="AN6" s="49"/>
      <c r="AO6" s="47">
        <v>4269.9999999999991</v>
      </c>
      <c r="AP6" s="43"/>
      <c r="AQ6" s="46"/>
      <c r="AR6" s="45"/>
      <c r="AS6" s="45"/>
      <c r="AT6" s="43"/>
      <c r="AU6" s="47">
        <v>5889.9987792968768</v>
      </c>
      <c r="AV6" s="48"/>
      <c r="AW6" s="44">
        <v>2829.9993896484352</v>
      </c>
      <c r="AX6" s="43"/>
      <c r="AY6" s="46"/>
      <c r="AZ6" s="45"/>
      <c r="BA6" s="45"/>
      <c r="BB6" s="43"/>
      <c r="BC6" s="47">
        <v>3990.000610351558</v>
      </c>
      <c r="BD6" s="48"/>
      <c r="BE6" s="50"/>
      <c r="BF6" s="51">
        <v>2910.0012207031227</v>
      </c>
      <c r="BG6" s="43"/>
      <c r="BH6" s="46"/>
      <c r="BI6" s="45"/>
      <c r="BJ6" s="45"/>
      <c r="BK6" s="43"/>
      <c r="BL6" s="43"/>
      <c r="BM6" s="47">
        <v>3729.9975585937545</v>
      </c>
      <c r="BN6" s="48"/>
      <c r="BO6" s="44">
        <v>2529.998779296875</v>
      </c>
      <c r="BP6" s="43"/>
      <c r="BQ6" s="46"/>
      <c r="BR6" s="45"/>
      <c r="BS6" s="45"/>
      <c r="BT6" s="43"/>
      <c r="BU6" s="47">
        <v>3110.0000000000023</v>
      </c>
      <c r="BV6" s="48"/>
      <c r="BW6" s="50"/>
      <c r="BX6" s="51">
        <v>2500.0024414062523</v>
      </c>
      <c r="BY6" s="43"/>
      <c r="BZ6" s="46"/>
      <c r="CA6" s="45"/>
      <c r="CB6" s="45"/>
      <c r="CC6" s="43"/>
      <c r="CD6" s="47">
        <v>2550.0024414062523</v>
      </c>
      <c r="CE6" s="48"/>
      <c r="CF6" s="50"/>
      <c r="CG6" s="51">
        <v>2640.00244140625</v>
      </c>
      <c r="CH6" s="43"/>
      <c r="CI6" s="46"/>
      <c r="CJ6" s="45"/>
      <c r="CK6" s="45"/>
      <c r="CL6" s="43"/>
      <c r="CM6" s="43"/>
      <c r="CN6" s="47">
        <v>3189.9999999999977</v>
      </c>
      <c r="CO6" s="48"/>
      <c r="CP6" s="43"/>
      <c r="CQ6" s="43"/>
      <c r="CR6" s="43"/>
      <c r="CS6" s="47">
        <v>2569.9975585937523</v>
      </c>
      <c r="CT6" s="48"/>
      <c r="CU6" s="47">
        <v>1080.0024414062477</v>
      </c>
      <c r="CV6" s="46"/>
      <c r="CW6" s="45"/>
      <c r="CX6" s="43"/>
      <c r="CY6" s="43"/>
      <c r="CZ6" s="47">
        <v>2689.9975585937455</v>
      </c>
      <c r="DA6" s="48"/>
      <c r="DB6" s="44">
        <v>2350.0012207031205</v>
      </c>
      <c r="DC6" s="43"/>
      <c r="DD6" s="46"/>
      <c r="DE6" s="45"/>
      <c r="DF6" s="45"/>
      <c r="DG6" s="43"/>
      <c r="DH6" s="47">
        <v>2370.001220703125</v>
      </c>
      <c r="DI6" s="52">
        <v>779.99999999999545</v>
      </c>
      <c r="DJ6" s="53"/>
      <c r="DK6" s="54"/>
      <c r="DL6" s="55">
        <v>1850.0012207031205</v>
      </c>
      <c r="DM6" s="56">
        <v>2230.0012207031273</v>
      </c>
      <c r="DN6" s="54"/>
      <c r="DO6" s="42"/>
      <c r="DP6" s="54"/>
      <c r="DQ6" s="54"/>
      <c r="DR6" s="55">
        <v>2050.0024414062523</v>
      </c>
      <c r="DS6" s="57"/>
      <c r="DT6" s="53"/>
      <c r="DU6" s="54"/>
      <c r="DV6" s="54"/>
      <c r="DW6" s="54"/>
      <c r="DX6" s="54"/>
    </row>
    <row r="7" spans="1:128" x14ac:dyDescent="0.25">
      <c r="A7" s="2" t="s">
        <v>42</v>
      </c>
      <c r="B7" s="58"/>
      <c r="C7" s="58"/>
      <c r="D7" s="59">
        <v>100.1</v>
      </c>
      <c r="E7" s="58"/>
      <c r="F7" s="58"/>
      <c r="G7" s="58"/>
      <c r="H7" s="58"/>
      <c r="I7" s="59">
        <v>127.5</v>
      </c>
      <c r="J7" s="60">
        <v>138.5</v>
      </c>
      <c r="K7" s="58"/>
      <c r="L7" s="58"/>
      <c r="M7" s="59">
        <v>149.19999999999999</v>
      </c>
      <c r="N7" s="58"/>
      <c r="O7" s="58"/>
      <c r="P7" s="58"/>
      <c r="Q7" s="59">
        <v>185.1</v>
      </c>
      <c r="R7" s="59">
        <v>186.5</v>
      </c>
      <c r="S7" s="58"/>
      <c r="T7" s="59">
        <v>196.7</v>
      </c>
      <c r="U7" s="59">
        <v>213</v>
      </c>
      <c r="X7" s="61">
        <v>227</v>
      </c>
      <c r="Y7" s="62">
        <v>245.9</v>
      </c>
      <c r="AB7" s="63">
        <v>273.5</v>
      </c>
      <c r="AE7" s="64">
        <v>284.60000000000002</v>
      </c>
      <c r="AF7" s="61">
        <v>290</v>
      </c>
      <c r="AG7" s="62">
        <v>316.89999999999998</v>
      </c>
      <c r="AJ7" s="13"/>
      <c r="AM7" s="64">
        <v>364.5</v>
      </c>
      <c r="AN7" s="61">
        <v>392.9</v>
      </c>
      <c r="AO7" s="65"/>
      <c r="AP7" s="62">
        <v>407.2</v>
      </c>
      <c r="AS7" s="13"/>
      <c r="AV7" s="64">
        <v>466.1</v>
      </c>
      <c r="AW7" s="61">
        <v>481</v>
      </c>
      <c r="AX7" s="62">
        <v>494.4</v>
      </c>
      <c r="BA7" s="13"/>
      <c r="BD7" s="64">
        <v>534.29999999999995</v>
      </c>
      <c r="BE7" s="61">
        <v>551.4</v>
      </c>
      <c r="BF7" s="65"/>
      <c r="BG7" s="65">
        <v>563.4</v>
      </c>
      <c r="BK7" s="13"/>
      <c r="BN7" s="64">
        <v>600.70000000000005</v>
      </c>
      <c r="BO7" s="61">
        <v>614.20000000000005</v>
      </c>
      <c r="BP7" s="62">
        <v>626</v>
      </c>
      <c r="BS7" s="13"/>
      <c r="BV7" s="64">
        <v>657.1</v>
      </c>
      <c r="BW7" s="61">
        <v>662</v>
      </c>
      <c r="BX7" s="62"/>
      <c r="BY7" s="65">
        <v>682.1</v>
      </c>
      <c r="CB7" s="13"/>
      <c r="CE7" s="64">
        <v>707.6</v>
      </c>
      <c r="CF7" s="61">
        <v>717.3</v>
      </c>
      <c r="CG7" s="62"/>
      <c r="CH7" s="65">
        <v>734</v>
      </c>
      <c r="CL7" s="13"/>
      <c r="CO7" s="64">
        <v>765.9</v>
      </c>
      <c r="CP7" s="64"/>
      <c r="CQ7" s="61">
        <v>772.4</v>
      </c>
      <c r="CR7" s="66"/>
      <c r="CT7" s="66">
        <v>791.6</v>
      </c>
      <c r="CV7" s="66">
        <v>802.4</v>
      </c>
      <c r="CX7" s="67"/>
      <c r="CY7" s="67"/>
      <c r="DA7" s="66">
        <v>829.3</v>
      </c>
      <c r="DB7" s="68">
        <v>833</v>
      </c>
      <c r="DC7" s="66">
        <v>852.8</v>
      </c>
      <c r="DI7" s="66">
        <v>876.5</v>
      </c>
      <c r="DJ7" s="60">
        <v>884.3</v>
      </c>
      <c r="DM7" s="66">
        <v>902.8</v>
      </c>
      <c r="DN7" s="66">
        <v>925.1</v>
      </c>
      <c r="DS7" s="66">
        <v>945.6</v>
      </c>
      <c r="DT7" s="69">
        <v>951.7</v>
      </c>
    </row>
    <row r="8" spans="1:128" s="80" customFormat="1" x14ac:dyDescent="0.25">
      <c r="A8" s="2" t="s">
        <v>43</v>
      </c>
      <c r="B8" s="58"/>
      <c r="C8" s="58"/>
      <c r="D8" s="58"/>
      <c r="E8" s="58"/>
      <c r="F8" s="58"/>
      <c r="G8" s="58"/>
      <c r="H8" s="58"/>
      <c r="I8" s="58"/>
      <c r="J8" s="10"/>
      <c r="K8" s="58"/>
      <c r="L8" s="58"/>
      <c r="M8" s="58"/>
      <c r="N8" s="58"/>
      <c r="O8" s="58"/>
      <c r="P8" s="58"/>
      <c r="Q8" s="10"/>
      <c r="R8" s="58"/>
      <c r="S8" s="58"/>
      <c r="T8" s="58"/>
      <c r="U8" s="58"/>
      <c r="V8" s="13"/>
      <c r="W8"/>
      <c r="X8" s="70"/>
      <c r="Y8" s="71"/>
      <c r="Z8" s="72"/>
      <c r="AA8" s="73"/>
      <c r="AB8" s="74"/>
      <c r="AC8" s="75"/>
      <c r="AD8" s="75">
        <f>AD6</f>
        <v>1110.0000000000023</v>
      </c>
      <c r="AE8" s="75"/>
      <c r="AF8" s="71">
        <v>1500</v>
      </c>
      <c r="AG8" s="71">
        <v>1500</v>
      </c>
      <c r="AH8" s="75"/>
      <c r="AI8" s="75"/>
      <c r="AJ8" s="75"/>
      <c r="AK8" s="75"/>
      <c r="AL8" s="75">
        <f>AL6</f>
        <v>4760.0006103515625</v>
      </c>
      <c r="AM8" s="75"/>
      <c r="AN8" s="71">
        <v>1500</v>
      </c>
      <c r="AO8" s="75">
        <f>AO6-3000</f>
        <v>1269.9999999999991</v>
      </c>
      <c r="AP8" s="71">
        <v>1500</v>
      </c>
      <c r="AQ8" s="75"/>
      <c r="AR8" s="75"/>
      <c r="AS8" s="75"/>
      <c r="AT8" s="75"/>
      <c r="AU8" s="75">
        <f>AU6</f>
        <v>5889.9987792968768</v>
      </c>
      <c r="AV8" s="75"/>
      <c r="AW8" s="71">
        <v>1500</v>
      </c>
      <c r="AX8" s="71">
        <v>1500</v>
      </c>
      <c r="AY8" s="75"/>
      <c r="AZ8" s="75"/>
      <c r="BA8" s="75"/>
      <c r="BB8" s="75"/>
      <c r="BC8" s="75">
        <f>BC6</f>
        <v>3990.000610351558</v>
      </c>
      <c r="BD8" s="75"/>
      <c r="BE8" s="71">
        <v>1500</v>
      </c>
      <c r="BF8" s="76"/>
      <c r="BG8" s="71">
        <v>1500</v>
      </c>
      <c r="BH8" s="75"/>
      <c r="BI8" s="75"/>
      <c r="BJ8" s="75"/>
      <c r="BK8" s="75"/>
      <c r="BL8" s="75"/>
      <c r="BM8" s="75">
        <f>BM6</f>
        <v>3729.9975585937545</v>
      </c>
      <c r="BN8" s="77"/>
      <c r="BO8" s="75">
        <f>BO6-1500</f>
        <v>1029.998779296875</v>
      </c>
      <c r="BP8" s="71">
        <v>1500</v>
      </c>
      <c r="BQ8" s="75"/>
      <c r="BR8" s="75"/>
      <c r="BS8" s="75"/>
      <c r="BT8" s="75"/>
      <c r="BU8" s="75">
        <f>BU6</f>
        <v>3110.0000000000023</v>
      </c>
      <c r="BV8" s="75"/>
      <c r="BW8" s="71">
        <v>1500</v>
      </c>
      <c r="BX8" s="71"/>
      <c r="BY8" s="71">
        <v>1500</v>
      </c>
      <c r="BZ8" s="75"/>
      <c r="CA8" s="75"/>
      <c r="CB8" s="75"/>
      <c r="CC8" s="75"/>
      <c r="CD8" s="75">
        <f>CD6</f>
        <v>2550.0024414062523</v>
      </c>
      <c r="CE8" s="75"/>
      <c r="CF8" s="71">
        <v>1500</v>
      </c>
      <c r="CG8" s="71"/>
      <c r="CH8" s="71">
        <v>1500</v>
      </c>
      <c r="CI8" s="75"/>
      <c r="CJ8" s="75"/>
      <c r="CK8" s="75"/>
      <c r="CL8" s="75"/>
      <c r="CM8" s="75"/>
      <c r="CN8" s="75">
        <f>CN6</f>
        <v>3189.9999999999977</v>
      </c>
      <c r="CO8" s="75"/>
      <c r="CP8" s="71">
        <v>1500</v>
      </c>
      <c r="CQ8" s="78"/>
      <c r="CR8" s="75"/>
      <c r="CS8" s="75">
        <f>CS6-1500</f>
        <v>1069.9975585937523</v>
      </c>
      <c r="CT8" s="75"/>
      <c r="CU8" s="79">
        <f>CU6</f>
        <v>1080.0024414062477</v>
      </c>
      <c r="CX8" s="81"/>
      <c r="CY8" s="81"/>
      <c r="DB8" s="70"/>
      <c r="DJ8" s="82"/>
      <c r="DT8" s="82"/>
    </row>
    <row r="9" spans="1:128" s="80" customFormat="1" x14ac:dyDescent="0.25">
      <c r="A9" s="2" t="s">
        <v>44</v>
      </c>
      <c r="B9" s="9"/>
      <c r="C9" s="9"/>
      <c r="D9" s="58"/>
      <c r="E9" s="9"/>
      <c r="F9" s="9"/>
      <c r="G9" s="9"/>
      <c r="H9" s="9"/>
      <c r="I9" s="58"/>
      <c r="J9" s="10"/>
      <c r="K9" s="9"/>
      <c r="L9" s="9"/>
      <c r="M9" s="9"/>
      <c r="N9" s="9"/>
      <c r="O9" s="9"/>
      <c r="P9" s="9"/>
      <c r="Q9" s="10"/>
      <c r="R9" s="9"/>
      <c r="S9" s="9"/>
      <c r="T9" s="9"/>
      <c r="U9" s="9"/>
      <c r="V9"/>
      <c r="W9"/>
      <c r="X9" s="70"/>
      <c r="Y9" s="83"/>
      <c r="Z9" s="72"/>
      <c r="AA9" s="72"/>
      <c r="AB9" s="74"/>
      <c r="AC9" s="84"/>
      <c r="AD9" s="84">
        <v>4</v>
      </c>
      <c r="AE9" s="84"/>
      <c r="AF9" s="83">
        <v>4</v>
      </c>
      <c r="AG9" s="83">
        <v>3</v>
      </c>
      <c r="AH9" s="84"/>
      <c r="AI9" s="75"/>
      <c r="AJ9" s="75"/>
      <c r="AK9" s="75"/>
      <c r="AL9" s="75">
        <v>3</v>
      </c>
      <c r="AM9" s="75"/>
      <c r="AN9" s="83">
        <v>3</v>
      </c>
      <c r="AO9" s="75">
        <v>3</v>
      </c>
      <c r="AP9" s="83">
        <v>3</v>
      </c>
      <c r="AQ9" s="84"/>
      <c r="AR9" s="75"/>
      <c r="AS9" s="75"/>
      <c r="AT9" s="75"/>
      <c r="AU9" s="75">
        <v>3</v>
      </c>
      <c r="AV9" s="75"/>
      <c r="AW9" s="83">
        <v>3</v>
      </c>
      <c r="AX9" s="83">
        <v>3</v>
      </c>
      <c r="AY9" s="75"/>
      <c r="AZ9" s="75"/>
      <c r="BA9" s="75"/>
      <c r="BB9" s="75"/>
      <c r="BC9" s="75">
        <v>3</v>
      </c>
      <c r="BD9" s="75"/>
      <c r="BE9" s="83">
        <v>3</v>
      </c>
      <c r="BF9" s="83"/>
      <c r="BG9" s="83">
        <v>3</v>
      </c>
      <c r="BH9" s="75"/>
      <c r="BI9" s="75"/>
      <c r="BJ9" s="75"/>
      <c r="BK9" s="75"/>
      <c r="BL9" s="75"/>
      <c r="BM9" s="75">
        <v>3</v>
      </c>
      <c r="BN9" s="77"/>
      <c r="BO9" s="75">
        <v>4</v>
      </c>
      <c r="BP9" s="83">
        <v>4</v>
      </c>
      <c r="BQ9" s="75"/>
      <c r="BR9" s="75"/>
      <c r="BS9" s="75"/>
      <c r="BT9" s="75"/>
      <c r="BU9" s="75">
        <v>4</v>
      </c>
      <c r="BV9" s="75"/>
      <c r="BW9" s="83">
        <v>4</v>
      </c>
      <c r="BX9" s="83"/>
      <c r="BY9" s="83">
        <v>4</v>
      </c>
      <c r="BZ9" s="75"/>
      <c r="CA9" s="75"/>
      <c r="CB9" s="75"/>
      <c r="CC9" s="75"/>
      <c r="CD9" s="75">
        <v>4</v>
      </c>
      <c r="CE9" s="75"/>
      <c r="CF9" s="83">
        <v>4</v>
      </c>
      <c r="CG9" s="83"/>
      <c r="CH9" s="83">
        <v>4</v>
      </c>
      <c r="CI9" s="75"/>
      <c r="CJ9" s="75"/>
      <c r="CK9" s="75"/>
      <c r="CL9" s="75"/>
      <c r="CM9" s="75"/>
      <c r="CN9" s="75">
        <v>4</v>
      </c>
      <c r="CO9" s="84"/>
      <c r="CP9" s="83">
        <v>4</v>
      </c>
      <c r="CQ9" s="78"/>
      <c r="CR9" s="75"/>
      <c r="CS9" s="75">
        <v>4</v>
      </c>
      <c r="CT9" s="75"/>
      <c r="CU9" s="85">
        <v>5</v>
      </c>
      <c r="CX9" s="81"/>
      <c r="CY9" s="81"/>
      <c r="DB9" s="70"/>
      <c r="DJ9" s="82"/>
      <c r="DT9" s="82"/>
    </row>
    <row r="10" spans="1:128" s="77" customFormat="1" x14ac:dyDescent="0.25">
      <c r="A10" s="2" t="s">
        <v>45</v>
      </c>
      <c r="B10" s="3"/>
      <c r="C10" s="3"/>
      <c r="D10" s="86"/>
      <c r="E10" s="3"/>
      <c r="F10" s="3"/>
      <c r="G10" s="3"/>
      <c r="H10" s="3"/>
      <c r="I10" s="86"/>
      <c r="J10" s="4"/>
      <c r="K10" s="3"/>
      <c r="L10" s="3"/>
      <c r="M10" s="3"/>
      <c r="N10" s="3"/>
      <c r="O10" s="3"/>
      <c r="P10" s="3"/>
      <c r="Q10" s="4"/>
      <c r="R10" s="3"/>
      <c r="S10" s="3"/>
      <c r="T10" s="3"/>
      <c r="U10" s="3"/>
      <c r="V10" s="5"/>
      <c r="W10" s="5"/>
      <c r="X10" s="87"/>
      <c r="AD10" s="77">
        <v>103</v>
      </c>
      <c r="AF10" s="87">
        <v>79</v>
      </c>
      <c r="AG10" s="77">
        <v>77</v>
      </c>
      <c r="AL10" s="77">
        <v>25</v>
      </c>
      <c r="AN10" s="87">
        <v>75</v>
      </c>
      <c r="AO10" s="88">
        <v>24</v>
      </c>
      <c r="AP10" s="77">
        <v>73</v>
      </c>
      <c r="AU10" s="77">
        <v>23</v>
      </c>
      <c r="AW10" s="87">
        <v>71</v>
      </c>
      <c r="AX10" s="77">
        <v>69</v>
      </c>
      <c r="BC10" s="77">
        <v>22</v>
      </c>
      <c r="BE10" s="87">
        <v>67</v>
      </c>
      <c r="BF10" s="88"/>
      <c r="BG10" s="77">
        <v>65</v>
      </c>
      <c r="BM10" s="77">
        <v>21</v>
      </c>
      <c r="BO10" s="87">
        <v>102</v>
      </c>
      <c r="BP10" s="77">
        <v>61</v>
      </c>
      <c r="BU10" s="77">
        <v>20</v>
      </c>
      <c r="BW10" s="87">
        <v>59</v>
      </c>
      <c r="BX10" s="88"/>
      <c r="BY10" s="77">
        <v>57</v>
      </c>
      <c r="CD10" s="77">
        <v>19</v>
      </c>
      <c r="CF10" s="87">
        <v>55</v>
      </c>
      <c r="CG10" s="88"/>
      <c r="CH10" s="77">
        <v>53</v>
      </c>
      <c r="CN10" s="77">
        <v>18</v>
      </c>
      <c r="CP10" s="77">
        <v>51</v>
      </c>
      <c r="CQ10" s="87"/>
      <c r="CS10" s="77">
        <v>17</v>
      </c>
      <c r="CU10" s="77">
        <v>4</v>
      </c>
      <c r="CX10" s="88"/>
      <c r="CY10" s="88"/>
      <c r="DB10" s="87"/>
      <c r="DJ10" s="89"/>
      <c r="DT10" s="89"/>
    </row>
    <row r="11" spans="1:128" s="77" customFormat="1" x14ac:dyDescent="0.25">
      <c r="A11" s="2"/>
      <c r="B11" s="3"/>
      <c r="C11" s="3"/>
      <c r="D11" s="86"/>
      <c r="E11" s="3"/>
      <c r="F11" s="3"/>
      <c r="G11" s="3"/>
      <c r="H11" s="3"/>
      <c r="I11" s="86"/>
      <c r="J11" s="4"/>
      <c r="K11" s="3"/>
      <c r="L11" s="3"/>
      <c r="M11" s="3"/>
      <c r="N11" s="3"/>
      <c r="O11" s="3"/>
      <c r="P11" s="3"/>
      <c r="Q11" s="4"/>
      <c r="R11" s="3"/>
      <c r="S11" s="3"/>
      <c r="T11" s="3"/>
      <c r="U11" s="3"/>
      <c r="V11" s="5"/>
      <c r="W11" s="5"/>
      <c r="X11" s="87"/>
      <c r="AF11" s="87"/>
      <c r="AN11" s="87"/>
      <c r="AO11" s="88"/>
      <c r="AW11" s="87"/>
      <c r="BE11" s="87"/>
      <c r="BF11" s="88"/>
      <c r="BO11" s="87"/>
      <c r="BW11" s="87"/>
      <c r="BX11" s="88"/>
      <c r="CF11" s="87"/>
      <c r="CG11" s="88"/>
      <c r="CQ11" s="87"/>
      <c r="CX11" s="88"/>
      <c r="CY11" s="88"/>
      <c r="DB11" s="87"/>
      <c r="DJ11" s="89"/>
      <c r="DT11" s="89"/>
    </row>
    <row r="12" spans="1:128" s="77" customFormat="1" x14ac:dyDescent="0.25">
      <c r="A12" s="2"/>
      <c r="B12" s="3"/>
      <c r="C12" s="3"/>
      <c r="D12" s="86"/>
      <c r="E12" s="3"/>
      <c r="F12" s="3"/>
      <c r="G12" s="3"/>
      <c r="H12" s="3"/>
      <c r="I12" s="86"/>
      <c r="J12" s="4"/>
      <c r="K12" s="3"/>
      <c r="L12" s="3"/>
      <c r="M12" s="3"/>
      <c r="N12" s="3"/>
      <c r="O12" s="3"/>
      <c r="P12" s="3"/>
      <c r="Q12" s="4"/>
      <c r="R12" s="3"/>
      <c r="S12" s="3"/>
      <c r="T12" s="3"/>
      <c r="U12" s="3"/>
      <c r="V12" s="5"/>
      <c r="W12" s="5"/>
      <c r="X12" s="87"/>
      <c r="AF12" s="87"/>
      <c r="AN12" s="87"/>
      <c r="AO12" s="88"/>
      <c r="AW12" s="87"/>
      <c r="BE12" s="87"/>
      <c r="BF12" s="88"/>
      <c r="BO12" s="87"/>
      <c r="BW12" s="87"/>
      <c r="BX12" s="88"/>
      <c r="CF12" s="87"/>
      <c r="CG12" s="88"/>
      <c r="CQ12" s="87"/>
      <c r="CX12" s="88"/>
      <c r="CY12" s="88"/>
      <c r="DB12" s="87"/>
      <c r="DJ12" s="89"/>
      <c r="DT12" s="89"/>
    </row>
    <row r="13" spans="1:128" s="5" customFormat="1" x14ac:dyDescent="0.25">
      <c r="A13" s="2"/>
      <c r="B13" s="3"/>
      <c r="C13" s="3"/>
      <c r="D13" s="86"/>
      <c r="E13" s="3"/>
      <c r="F13" s="3"/>
      <c r="G13" s="3"/>
      <c r="H13" s="3"/>
      <c r="I13" s="86"/>
      <c r="J13" s="4"/>
      <c r="K13" s="3"/>
      <c r="L13" s="3"/>
      <c r="M13" s="3"/>
      <c r="N13" s="3"/>
      <c r="O13" s="3"/>
      <c r="P13" s="3"/>
      <c r="Q13" s="4"/>
      <c r="R13" s="3"/>
      <c r="S13" s="3"/>
      <c r="T13" s="3"/>
      <c r="U13" s="3"/>
      <c r="X13" s="6"/>
      <c r="AF13" s="6"/>
      <c r="AN13" s="87"/>
      <c r="AO13" s="88"/>
      <c r="AW13" s="6"/>
      <c r="BA13" s="77"/>
      <c r="BE13" s="6"/>
      <c r="BF13" s="7"/>
      <c r="BJ13" s="77"/>
      <c r="BL13" s="77"/>
      <c r="BO13" s="6"/>
      <c r="BS13" s="77"/>
      <c r="BT13" s="77"/>
      <c r="BW13" s="6"/>
      <c r="BX13" s="7"/>
      <c r="CB13" s="77"/>
      <c r="CC13" s="77"/>
      <c r="CF13" s="6"/>
      <c r="CG13" s="7"/>
      <c r="CK13" s="77"/>
      <c r="CM13" s="77"/>
      <c r="CQ13" s="6"/>
      <c r="CX13" s="7"/>
      <c r="CY13" s="7"/>
      <c r="DB13" s="6"/>
      <c r="DJ13" s="8"/>
      <c r="DT13" s="8"/>
    </row>
    <row r="14" spans="1:128" s="95" customFormat="1" x14ac:dyDescent="0.25">
      <c r="A14" s="2"/>
      <c r="B14" s="90"/>
      <c r="C14" s="90"/>
      <c r="D14" s="91"/>
      <c r="E14" s="90"/>
      <c r="F14" s="90"/>
      <c r="G14" s="90"/>
      <c r="H14" s="90"/>
      <c r="I14" s="91"/>
      <c r="J14" s="92"/>
      <c r="K14" s="90"/>
      <c r="L14" s="90"/>
      <c r="M14" s="90"/>
      <c r="N14" s="90"/>
      <c r="O14" s="90"/>
      <c r="P14" s="90"/>
      <c r="Q14" s="92"/>
      <c r="R14" s="90"/>
      <c r="S14" s="90"/>
      <c r="T14" s="90"/>
      <c r="U14" s="90"/>
      <c r="V14" s="93"/>
      <c r="W14" s="93"/>
      <c r="X14" s="94"/>
      <c r="AF14" s="94"/>
      <c r="AN14" s="94"/>
      <c r="AO14" s="96"/>
      <c r="AW14" s="94"/>
      <c r="BE14" s="94"/>
      <c r="BF14" s="96"/>
      <c r="BJ14" s="154"/>
      <c r="BK14" s="154"/>
      <c r="BO14" s="94"/>
      <c r="BW14" s="94"/>
      <c r="BX14" s="96"/>
      <c r="CF14" s="97"/>
      <c r="CG14" s="96"/>
      <c r="CQ14" s="96"/>
      <c r="CR14" s="98"/>
      <c r="CS14" s="96"/>
      <c r="CT14" s="96"/>
      <c r="CX14" s="96"/>
      <c r="CY14" s="96"/>
      <c r="DB14" s="94"/>
      <c r="DJ14" s="99"/>
      <c r="DT14" s="100"/>
    </row>
    <row r="15" spans="1:128" s="95" customFormat="1" x14ac:dyDescent="0.25">
      <c r="A15" s="2" t="s">
        <v>45</v>
      </c>
      <c r="B15" s="90"/>
      <c r="C15" s="90"/>
      <c r="D15" s="91"/>
      <c r="E15" s="90"/>
      <c r="F15" s="90"/>
      <c r="G15" s="90"/>
      <c r="H15" s="90"/>
      <c r="I15" s="91"/>
      <c r="J15" s="92"/>
      <c r="K15" s="91"/>
      <c r="L15" s="91"/>
      <c r="M15" s="91"/>
      <c r="N15" s="91"/>
      <c r="O15" s="91"/>
      <c r="P15" s="91"/>
      <c r="Q15" s="92"/>
      <c r="R15" s="90"/>
      <c r="S15" s="90"/>
      <c r="T15" s="90"/>
      <c r="U15" s="90"/>
      <c r="V15" s="93"/>
      <c r="W15" s="93"/>
      <c r="X15" s="94"/>
      <c r="AD15" s="95">
        <v>101</v>
      </c>
      <c r="AF15" s="94">
        <v>1</v>
      </c>
      <c r="AJ15" s="95">
        <v>5</v>
      </c>
      <c r="AL15" s="95">
        <v>6</v>
      </c>
      <c r="AN15" s="94">
        <v>31</v>
      </c>
      <c r="AO15" s="96">
        <v>7</v>
      </c>
      <c r="AP15" s="95">
        <v>33</v>
      </c>
      <c r="AT15" s="95">
        <v>8</v>
      </c>
      <c r="AW15" s="94">
        <v>35</v>
      </c>
      <c r="AX15" s="95">
        <v>37</v>
      </c>
      <c r="BC15" s="95">
        <v>9</v>
      </c>
      <c r="BE15" s="94">
        <v>39</v>
      </c>
      <c r="BF15" s="96">
        <v>10</v>
      </c>
      <c r="BG15" s="95">
        <v>41</v>
      </c>
      <c r="BJ15" s="154"/>
      <c r="BK15" s="154"/>
      <c r="BL15" s="95">
        <v>11</v>
      </c>
      <c r="BO15" s="94">
        <v>43</v>
      </c>
      <c r="BP15" s="95">
        <v>45</v>
      </c>
      <c r="BT15" s="95">
        <v>12</v>
      </c>
      <c r="BW15" s="94">
        <v>47</v>
      </c>
      <c r="BX15" s="96">
        <v>13</v>
      </c>
      <c r="BY15" s="95">
        <v>49</v>
      </c>
      <c r="CB15" s="95">
        <v>14</v>
      </c>
      <c r="CE15" s="94"/>
      <c r="CF15" s="96"/>
      <c r="CG15" s="96">
        <v>2</v>
      </c>
      <c r="CL15" s="95">
        <v>15</v>
      </c>
      <c r="CP15" s="95">
        <v>3</v>
      </c>
      <c r="CQ15" s="96"/>
      <c r="CR15" s="94">
        <v>16</v>
      </c>
      <c r="CS15" s="96"/>
      <c r="CT15" s="96"/>
      <c r="CX15" s="96"/>
      <c r="CY15" s="96"/>
      <c r="DB15" s="94"/>
      <c r="DJ15" s="99"/>
      <c r="DT15" s="100"/>
    </row>
    <row r="16" spans="1:128" s="102" customFormat="1" x14ac:dyDescent="0.25">
      <c r="A16" s="2" t="s">
        <v>43</v>
      </c>
      <c r="B16" s="90"/>
      <c r="C16" s="90"/>
      <c r="D16" s="91"/>
      <c r="E16" s="90"/>
      <c r="F16" s="90"/>
      <c r="G16" s="90"/>
      <c r="H16" s="90"/>
      <c r="I16" s="91"/>
      <c r="J16" s="92"/>
      <c r="K16" s="91"/>
      <c r="L16" s="91"/>
      <c r="M16" s="91"/>
      <c r="N16" s="91"/>
      <c r="O16" s="91"/>
      <c r="P16" s="91"/>
      <c r="Q16" s="92"/>
      <c r="R16" s="90"/>
      <c r="S16" s="90"/>
      <c r="T16" s="90"/>
      <c r="U16" s="90"/>
      <c r="V16" s="93"/>
      <c r="W16" s="93"/>
      <c r="X16" s="101"/>
      <c r="Y16" s="71"/>
      <c r="Z16" s="72"/>
      <c r="AA16" s="72">
        <f>AB19</f>
        <v>3029.999694824221</v>
      </c>
      <c r="AB16" s="72"/>
      <c r="AC16" s="95"/>
      <c r="AD16" s="72">
        <f>AD19</f>
        <v>789.9993896484375</v>
      </c>
      <c r="AE16" s="72"/>
      <c r="AF16" s="79">
        <f>AF19</f>
        <v>2350</v>
      </c>
      <c r="AG16" s="79"/>
      <c r="AH16" s="72"/>
      <c r="AI16" s="72"/>
      <c r="AJ16" s="72">
        <f>(317-AG18)*100</f>
        <v>2000</v>
      </c>
      <c r="AK16" s="95"/>
      <c r="AL16" s="72">
        <f>(AM18-317)*100</f>
        <v>5010.0000000000018</v>
      </c>
      <c r="AM16" s="72"/>
      <c r="AN16" s="71">
        <v>1500</v>
      </c>
      <c r="AO16" s="72">
        <f>AO19-3000</f>
        <v>609.99938964843659</v>
      </c>
      <c r="AP16" s="71">
        <v>1500</v>
      </c>
      <c r="AQ16" s="72"/>
      <c r="AR16" s="72"/>
      <c r="AS16" s="72"/>
      <c r="AT16" s="72">
        <f>AU19</f>
        <v>5239.9987792968768</v>
      </c>
      <c r="AU16" s="72"/>
      <c r="AV16" s="72"/>
      <c r="AW16" s="71">
        <v>1500</v>
      </c>
      <c r="AX16" s="71">
        <v>1500</v>
      </c>
      <c r="AY16" s="72"/>
      <c r="AZ16" s="72"/>
      <c r="BA16" s="72"/>
      <c r="BB16" s="72"/>
      <c r="BC16" s="72">
        <f>BC19</f>
        <v>4359.9987792968705</v>
      </c>
      <c r="BD16" s="72"/>
      <c r="BE16" s="71">
        <v>1500</v>
      </c>
      <c r="BF16" s="72">
        <f>BF19-3000</f>
        <v>410.00122070312273</v>
      </c>
      <c r="BG16" s="71">
        <v>1500</v>
      </c>
      <c r="BH16" s="72"/>
      <c r="BI16" s="72"/>
      <c r="BJ16" s="72"/>
      <c r="BK16" s="72"/>
      <c r="BL16" s="72">
        <f>BM19</f>
        <v>3439.9975585937455</v>
      </c>
      <c r="BM16" s="72"/>
      <c r="BN16" s="72"/>
      <c r="BO16" s="71">
        <v>1500</v>
      </c>
      <c r="BP16" s="71">
        <v>1500</v>
      </c>
      <c r="BQ16" s="72"/>
      <c r="BR16" s="72"/>
      <c r="BS16" s="72"/>
      <c r="BT16" s="72">
        <f>BU19</f>
        <v>2929.998779296875</v>
      </c>
      <c r="BU16" s="72"/>
      <c r="BV16" s="72"/>
      <c r="BW16" s="71">
        <v>1500</v>
      </c>
      <c r="BX16" s="72">
        <f>BX19-3000</f>
        <v>370.00000000000455</v>
      </c>
      <c r="BY16" s="71">
        <v>1500</v>
      </c>
      <c r="BZ16" s="72"/>
      <c r="CA16" s="72"/>
      <c r="CB16" s="72">
        <f>CE19</f>
        <v>3649.9987792968795</v>
      </c>
      <c r="CC16" s="72"/>
      <c r="CD16" s="72"/>
      <c r="CE16" s="78"/>
      <c r="CF16" s="72"/>
      <c r="CG16" s="79">
        <f>CG19</f>
        <v>849.99877929687955</v>
      </c>
      <c r="CH16" s="79"/>
      <c r="CI16" s="72"/>
      <c r="CJ16" s="72"/>
      <c r="CK16" s="72"/>
      <c r="CL16" s="72">
        <f>CN19</f>
        <v>3699.9987792968795</v>
      </c>
      <c r="CM16" s="72"/>
      <c r="CN16" s="72"/>
      <c r="CO16" s="72"/>
      <c r="CP16" s="79">
        <f>CP19</f>
        <v>639.99877929687727</v>
      </c>
      <c r="CQ16" s="79"/>
      <c r="CR16" s="78">
        <f>CT19-1500</f>
        <v>850.00244140625227</v>
      </c>
      <c r="CS16" s="72"/>
      <c r="CT16" s="72"/>
      <c r="CU16" s="71"/>
      <c r="CX16" s="74"/>
      <c r="CY16" s="74"/>
      <c r="DB16" s="101"/>
      <c r="DJ16" s="82"/>
      <c r="DT16" s="103"/>
    </row>
    <row r="17" spans="1:130" s="102" customFormat="1" x14ac:dyDescent="0.25">
      <c r="A17" s="2" t="s">
        <v>44</v>
      </c>
      <c r="B17" s="90"/>
      <c r="C17" s="90"/>
      <c r="D17" s="91"/>
      <c r="E17" s="90"/>
      <c r="F17" s="90"/>
      <c r="G17" s="90"/>
      <c r="H17" s="90"/>
      <c r="I17" s="91"/>
      <c r="J17" s="92"/>
      <c r="K17" s="91"/>
      <c r="L17" s="91"/>
      <c r="M17" s="91"/>
      <c r="N17" s="91"/>
      <c r="O17" s="91"/>
      <c r="P17" s="91"/>
      <c r="Q17" s="92"/>
      <c r="R17" s="91"/>
      <c r="S17" s="91"/>
      <c r="T17" s="91"/>
      <c r="U17" s="90"/>
      <c r="V17" s="93"/>
      <c r="W17" s="93"/>
      <c r="X17" s="101"/>
      <c r="Y17" s="83"/>
      <c r="Z17" s="72"/>
      <c r="AA17" s="72">
        <v>3</v>
      </c>
      <c r="AB17" s="104"/>
      <c r="AC17" s="95"/>
      <c r="AD17" s="72">
        <v>4</v>
      </c>
      <c r="AE17" s="72"/>
      <c r="AF17" s="85">
        <v>5</v>
      </c>
      <c r="AG17" s="85"/>
      <c r="AH17" s="72"/>
      <c r="AI17" s="72"/>
      <c r="AJ17" s="72">
        <v>4</v>
      </c>
      <c r="AK17" s="95"/>
      <c r="AL17" s="72">
        <v>3</v>
      </c>
      <c r="AM17" s="72"/>
      <c r="AN17" s="83">
        <v>3</v>
      </c>
      <c r="AO17" s="72">
        <v>3</v>
      </c>
      <c r="AP17" s="83">
        <v>3</v>
      </c>
      <c r="AQ17" s="72"/>
      <c r="AR17" s="72"/>
      <c r="AS17" s="72"/>
      <c r="AT17" s="72">
        <v>3</v>
      </c>
      <c r="AU17" s="72"/>
      <c r="AV17" s="72"/>
      <c r="AW17" s="83">
        <v>3</v>
      </c>
      <c r="AX17" s="83">
        <v>3</v>
      </c>
      <c r="AY17" s="72"/>
      <c r="AZ17" s="72"/>
      <c r="BA17" s="72"/>
      <c r="BB17" s="72"/>
      <c r="BC17" s="72">
        <v>3</v>
      </c>
      <c r="BD17" s="72"/>
      <c r="BE17" s="83">
        <v>3</v>
      </c>
      <c r="BF17" s="72">
        <v>3</v>
      </c>
      <c r="BG17" s="83">
        <v>3</v>
      </c>
      <c r="BH17" s="72"/>
      <c r="BI17" s="72"/>
      <c r="BJ17" s="72"/>
      <c r="BK17" s="72"/>
      <c r="BL17" s="72">
        <v>3</v>
      </c>
      <c r="BM17" s="72"/>
      <c r="BN17" s="72"/>
      <c r="BO17" s="83">
        <v>3</v>
      </c>
      <c r="BP17" s="83">
        <v>4</v>
      </c>
      <c r="BQ17" s="72"/>
      <c r="BR17" s="72"/>
      <c r="BS17" s="72"/>
      <c r="BT17" s="72">
        <v>4</v>
      </c>
      <c r="BU17" s="72"/>
      <c r="BV17" s="72"/>
      <c r="BW17" s="83">
        <v>4</v>
      </c>
      <c r="BX17" s="72">
        <v>4</v>
      </c>
      <c r="BY17" s="83">
        <v>4</v>
      </c>
      <c r="BZ17" s="72"/>
      <c r="CA17" s="72"/>
      <c r="CB17" s="72">
        <v>4</v>
      </c>
      <c r="CC17" s="72"/>
      <c r="CD17" s="72"/>
      <c r="CE17" s="78"/>
      <c r="CF17" s="72"/>
      <c r="CG17" s="85">
        <v>5</v>
      </c>
      <c r="CH17" s="85"/>
      <c r="CI17" s="72"/>
      <c r="CJ17" s="72"/>
      <c r="CK17" s="72"/>
      <c r="CL17" s="72">
        <v>4</v>
      </c>
      <c r="CM17" s="72"/>
      <c r="CN17" s="72"/>
      <c r="CO17" s="72"/>
      <c r="CP17" s="85">
        <v>5</v>
      </c>
      <c r="CQ17" s="85"/>
      <c r="CR17" s="78">
        <v>4</v>
      </c>
      <c r="CS17" s="72"/>
      <c r="CT17" s="72"/>
      <c r="CU17" s="83"/>
      <c r="CX17" s="74"/>
      <c r="CY17" s="74"/>
      <c r="DB17" s="101"/>
      <c r="DJ17" s="82"/>
      <c r="DT17" s="103"/>
    </row>
    <row r="18" spans="1:130" s="114" customFormat="1" ht="15.75" thickBot="1" x14ac:dyDescent="0.3">
      <c r="A18" s="2" t="s">
        <v>42</v>
      </c>
      <c r="B18" s="18"/>
      <c r="C18" s="18"/>
      <c r="D18" s="105">
        <v>100.7</v>
      </c>
      <c r="E18" s="18"/>
      <c r="F18" s="18"/>
      <c r="G18" s="18"/>
      <c r="H18" s="18"/>
      <c r="I18" s="105">
        <v>127</v>
      </c>
      <c r="J18" s="106">
        <v>138.5</v>
      </c>
      <c r="K18" s="105">
        <v>151.6</v>
      </c>
      <c r="L18" s="18"/>
      <c r="M18" s="18"/>
      <c r="N18" s="18"/>
      <c r="O18" s="18"/>
      <c r="P18" s="105">
        <v>176.7</v>
      </c>
      <c r="Q18" s="106">
        <v>185.1</v>
      </c>
      <c r="R18" s="18"/>
      <c r="S18" s="105">
        <v>192.8</v>
      </c>
      <c r="T18" s="18"/>
      <c r="U18" s="18"/>
      <c r="V18" s="20"/>
      <c r="W18" s="21"/>
      <c r="X18" s="107">
        <v>227</v>
      </c>
      <c r="Y18" s="108">
        <v>235.3</v>
      </c>
      <c r="Z18" s="109"/>
      <c r="AA18" s="109"/>
      <c r="AB18" s="109"/>
      <c r="AC18" s="110">
        <v>265.60000000000002</v>
      </c>
      <c r="AD18" s="109"/>
      <c r="AE18" s="111">
        <v>273.5</v>
      </c>
      <c r="AF18" s="107">
        <v>290</v>
      </c>
      <c r="AG18" s="111">
        <v>297</v>
      </c>
      <c r="AH18" s="109"/>
      <c r="AI18" s="109"/>
      <c r="AJ18" s="109"/>
      <c r="AK18" s="109"/>
      <c r="AL18" s="109"/>
      <c r="AM18" s="111">
        <v>367.1</v>
      </c>
      <c r="AN18" s="107">
        <v>392.9</v>
      </c>
      <c r="AO18" s="111"/>
      <c r="AP18" s="111">
        <v>403.2</v>
      </c>
      <c r="AQ18" s="109"/>
      <c r="AR18" s="109"/>
      <c r="AS18" s="109"/>
      <c r="AT18" s="109"/>
      <c r="AU18" s="109"/>
      <c r="AV18" s="111">
        <v>455.6</v>
      </c>
      <c r="AW18" s="107">
        <v>481</v>
      </c>
      <c r="AX18" s="111">
        <v>486.2</v>
      </c>
      <c r="AY18" s="109"/>
      <c r="AZ18" s="109"/>
      <c r="BA18" s="109"/>
      <c r="BB18" s="109"/>
      <c r="BC18" s="109"/>
      <c r="BD18" s="111">
        <v>529.79999999999995</v>
      </c>
      <c r="BE18" s="107">
        <v>551.4</v>
      </c>
      <c r="BF18" s="111"/>
      <c r="BG18" s="111">
        <v>563.9</v>
      </c>
      <c r="BH18" s="109"/>
      <c r="BI18" s="109"/>
      <c r="BJ18" s="109"/>
      <c r="BK18" s="109"/>
      <c r="BL18" s="109"/>
      <c r="BM18" s="109"/>
      <c r="BN18" s="111">
        <v>598.29999999999995</v>
      </c>
      <c r="BO18" s="107">
        <v>614.20000000000005</v>
      </c>
      <c r="BP18" s="111">
        <v>618.20000000000005</v>
      </c>
      <c r="BQ18" s="109"/>
      <c r="BR18" s="109"/>
      <c r="BS18" s="109"/>
      <c r="BT18" s="109"/>
      <c r="BU18" s="109"/>
      <c r="BV18" s="111">
        <v>647.5</v>
      </c>
      <c r="BW18" s="107">
        <v>662</v>
      </c>
      <c r="BX18" s="111"/>
      <c r="BY18" s="111">
        <v>681.2</v>
      </c>
      <c r="BZ18" s="109"/>
      <c r="CA18" s="109"/>
      <c r="CB18" s="109"/>
      <c r="CC18" s="109"/>
      <c r="CD18" s="109"/>
      <c r="CE18" s="107">
        <v>717.3</v>
      </c>
      <c r="CF18" s="111">
        <v>717.7</v>
      </c>
      <c r="CG18" s="111"/>
      <c r="CH18" s="111">
        <v>726.2</v>
      </c>
      <c r="CI18" s="109"/>
      <c r="CJ18" s="109"/>
      <c r="CK18" s="109"/>
      <c r="CL18" s="109"/>
      <c r="CM18" s="109"/>
      <c r="CN18" s="109"/>
      <c r="CO18" s="111">
        <v>763.2</v>
      </c>
      <c r="CP18" s="111"/>
      <c r="CQ18" s="111">
        <v>769.6</v>
      </c>
      <c r="CR18" s="107">
        <v>772.4</v>
      </c>
      <c r="CS18" s="109"/>
      <c r="CT18" s="109"/>
      <c r="CU18" s="66">
        <v>793.1</v>
      </c>
      <c r="CV18" s="109"/>
      <c r="CW18" s="109"/>
      <c r="CX18" s="109"/>
      <c r="CY18" s="112"/>
      <c r="CZ18" s="109"/>
      <c r="DA18" s="66">
        <v>821.6</v>
      </c>
      <c r="DB18" s="107">
        <v>833</v>
      </c>
      <c r="DC18" s="111">
        <v>837.6</v>
      </c>
      <c r="DD18" s="109"/>
      <c r="DE18" s="109"/>
      <c r="DF18" s="109"/>
      <c r="DG18" s="109"/>
      <c r="DH18" s="109"/>
      <c r="DI18" s="105">
        <v>877.7</v>
      </c>
      <c r="DJ18" s="106">
        <v>884.3</v>
      </c>
      <c r="DK18" s="113"/>
      <c r="DL18" s="113"/>
      <c r="DM18" s="66">
        <v>900.5</v>
      </c>
      <c r="DN18" s="66">
        <v>919.6</v>
      </c>
      <c r="DO18" s="113"/>
      <c r="DP18" s="113"/>
      <c r="DQ18" s="113"/>
      <c r="DR18" s="113"/>
      <c r="DS18" s="66">
        <v>946.6</v>
      </c>
      <c r="DT18" s="106">
        <v>951.7</v>
      </c>
      <c r="DU18" s="113"/>
      <c r="DV18" s="113"/>
      <c r="DW18" s="113"/>
      <c r="DX18" s="113"/>
      <c r="DY18" s="113"/>
      <c r="DZ18" s="113"/>
    </row>
    <row r="19" spans="1:130" s="5" customFormat="1" x14ac:dyDescent="0.25">
      <c r="A19" s="2"/>
      <c r="B19" s="3"/>
      <c r="C19" s="115"/>
      <c r="D19" s="3"/>
      <c r="E19" s="116"/>
      <c r="F19" s="3"/>
      <c r="G19" s="3"/>
      <c r="H19" s="115">
        <v>2630.0003051757813</v>
      </c>
      <c r="I19" s="117"/>
      <c r="J19" s="118">
        <v>2459.9999999999995</v>
      </c>
      <c r="K19" s="3"/>
      <c r="L19" s="116"/>
      <c r="M19" s="3"/>
      <c r="N19" s="3"/>
      <c r="O19" s="115">
        <v>2509.9993896484366</v>
      </c>
      <c r="P19" s="117"/>
      <c r="Q19" s="4"/>
      <c r="R19" s="115">
        <v>1610.0003051757824</v>
      </c>
      <c r="S19" s="3"/>
      <c r="T19" s="116"/>
      <c r="U19" s="3"/>
      <c r="X19" s="119">
        <v>4249.9996948242197</v>
      </c>
      <c r="Y19" s="120"/>
      <c r="Z19" s="121"/>
      <c r="AB19" s="122">
        <v>3029.999694824221</v>
      </c>
      <c r="AD19" s="122">
        <v>789.9993896484375</v>
      </c>
      <c r="AE19" s="123"/>
      <c r="AF19" s="124">
        <v>2350</v>
      </c>
      <c r="AH19" s="121"/>
      <c r="AL19" s="122">
        <v>7010.0000000000018</v>
      </c>
      <c r="AM19" s="123"/>
      <c r="AN19" s="6"/>
      <c r="AO19" s="125">
        <v>3609.9993896484366</v>
      </c>
      <c r="AQ19" s="121"/>
      <c r="AU19" s="122">
        <v>5239.9987792968768</v>
      </c>
      <c r="AV19" s="123"/>
      <c r="AW19" s="124">
        <v>3059.9993896484366</v>
      </c>
      <c r="AY19" s="121"/>
      <c r="BC19" s="122">
        <v>4359.9987792968705</v>
      </c>
      <c r="BD19" s="123"/>
      <c r="BE19" s="6"/>
      <c r="BF19" s="124">
        <v>3410.0012207031227</v>
      </c>
      <c r="BH19" s="121"/>
      <c r="BM19" s="122">
        <v>3439.9975585937455</v>
      </c>
      <c r="BN19" s="123"/>
      <c r="BO19" s="124">
        <v>1990.0012207031295</v>
      </c>
      <c r="BQ19" s="121"/>
      <c r="BU19" s="122">
        <v>2929.998779296875</v>
      </c>
      <c r="BV19" s="123"/>
      <c r="BW19" s="6"/>
      <c r="BX19" s="124">
        <v>3370.0000000000045</v>
      </c>
      <c r="BZ19" s="121"/>
      <c r="CE19" s="124">
        <v>3649.9987792968795</v>
      </c>
      <c r="CF19" s="126"/>
      <c r="CG19" s="127">
        <v>849.99877929687955</v>
      </c>
      <c r="CH19" s="7"/>
      <c r="CI19" s="121"/>
      <c r="CN19" s="122">
        <v>3699.9987792968795</v>
      </c>
      <c r="CO19" s="126"/>
      <c r="CP19" s="127">
        <v>639.99877929687727</v>
      </c>
      <c r="CQ19" s="7"/>
      <c r="CR19" s="128"/>
      <c r="CS19" s="7"/>
      <c r="CT19" s="122">
        <v>2350.0024414062523</v>
      </c>
      <c r="CU19" s="7"/>
      <c r="CV19" s="129"/>
      <c r="CX19" s="7"/>
      <c r="CY19" s="7"/>
      <c r="CZ19" s="122">
        <v>2850.0024414062523</v>
      </c>
      <c r="DA19" s="126"/>
      <c r="DB19" s="124">
        <v>1600.0024414062523</v>
      </c>
      <c r="DD19" s="129"/>
      <c r="DF19" s="7"/>
      <c r="DG19" s="7"/>
      <c r="DH19" s="122">
        <v>4010.0024414062545</v>
      </c>
      <c r="DI19" s="130">
        <v>659.99877929687045</v>
      </c>
      <c r="DJ19" s="8"/>
      <c r="DL19" s="122">
        <v>1620.001220703125</v>
      </c>
      <c r="DM19" s="131">
        <v>1910.0000000000023</v>
      </c>
      <c r="DO19" s="132"/>
      <c r="DR19" s="122">
        <v>2700.0024414062523</v>
      </c>
      <c r="DS19" s="133"/>
      <c r="DT19" s="8"/>
    </row>
    <row r="20" spans="1:130" ht="15.75" thickBot="1" x14ac:dyDescent="0.3">
      <c r="A20" s="2"/>
      <c r="B20" s="18"/>
      <c r="C20" s="18"/>
      <c r="D20" s="18"/>
      <c r="E20" s="18"/>
      <c r="F20" s="134"/>
      <c r="G20" s="18"/>
      <c r="H20" s="135"/>
      <c r="I20" s="18"/>
      <c r="J20" s="19"/>
      <c r="K20" s="18"/>
      <c r="L20" s="18"/>
      <c r="M20" s="134"/>
      <c r="N20" s="18"/>
      <c r="O20" s="135"/>
      <c r="P20" s="18"/>
      <c r="Q20" s="19"/>
      <c r="R20" s="18"/>
      <c r="S20" s="18"/>
      <c r="T20" s="18"/>
      <c r="U20" s="134"/>
      <c r="V20" s="20"/>
      <c r="W20" s="21"/>
      <c r="X20" s="23"/>
      <c r="Y20" s="21"/>
      <c r="Z20" s="21"/>
      <c r="AA20" s="136"/>
      <c r="AB20" s="21"/>
      <c r="AC20" s="21"/>
      <c r="AD20" s="137"/>
      <c r="AE20" s="21"/>
      <c r="AF20" s="23"/>
      <c r="AG20" s="21"/>
      <c r="AH20" s="21"/>
      <c r="AI20" s="136"/>
      <c r="AJ20" s="21"/>
      <c r="AK20" s="21"/>
      <c r="AL20" s="137"/>
      <c r="AM20" s="21"/>
      <c r="AN20" s="23"/>
      <c r="AO20" s="21"/>
      <c r="AP20" s="21"/>
      <c r="AQ20" s="21"/>
      <c r="AR20" s="136"/>
      <c r="AS20" s="21"/>
      <c r="AT20" s="21"/>
      <c r="AU20" s="137"/>
      <c r="AV20" s="21"/>
      <c r="AW20" s="23"/>
      <c r="AX20" s="21"/>
      <c r="AY20" s="21"/>
      <c r="AZ20" s="136"/>
      <c r="BA20" s="21"/>
      <c r="BB20" s="21"/>
      <c r="BC20" s="137"/>
      <c r="BD20" s="21"/>
      <c r="BE20" s="23"/>
      <c r="BF20" s="21"/>
      <c r="BG20" s="21"/>
      <c r="BH20" s="21"/>
      <c r="BI20" s="136"/>
      <c r="BJ20" s="21"/>
      <c r="BK20" s="21"/>
      <c r="BL20" s="21"/>
      <c r="BM20" s="137"/>
      <c r="BN20" s="21"/>
      <c r="BO20" s="23"/>
      <c r="BP20" s="21"/>
      <c r="BQ20" s="21"/>
      <c r="BR20" s="136"/>
      <c r="BS20" s="21"/>
      <c r="BT20" s="21"/>
      <c r="BU20" s="137"/>
      <c r="BV20" s="21"/>
      <c r="BW20" s="23"/>
      <c r="BX20" s="21"/>
      <c r="BY20" s="21"/>
      <c r="BZ20" s="21"/>
      <c r="CA20" s="136"/>
      <c r="CB20" s="21"/>
      <c r="CC20" s="21"/>
      <c r="CD20" s="21"/>
      <c r="CE20" s="138"/>
      <c r="CF20" s="21"/>
      <c r="CG20" s="21"/>
      <c r="CH20" s="21"/>
      <c r="CI20" s="21"/>
      <c r="CJ20" s="136"/>
      <c r="CK20" s="21"/>
      <c r="CL20" s="21"/>
      <c r="CM20" s="21"/>
      <c r="CN20" s="137"/>
      <c r="CO20" s="21"/>
      <c r="CP20" s="21"/>
      <c r="CQ20" s="21"/>
      <c r="CR20" s="23"/>
      <c r="CS20" s="136"/>
      <c r="CT20" s="21"/>
      <c r="CU20" s="21"/>
      <c r="CV20" s="21"/>
      <c r="CW20" s="136"/>
      <c r="CX20" s="21"/>
      <c r="CY20" s="21"/>
      <c r="CZ20" s="137"/>
      <c r="DA20" s="21"/>
      <c r="DB20" s="23"/>
      <c r="DC20" s="21"/>
      <c r="DD20" s="21"/>
      <c r="DE20" s="136"/>
      <c r="DF20" s="21"/>
      <c r="DG20" s="21"/>
      <c r="DH20" s="137"/>
      <c r="DI20" s="21"/>
      <c r="DJ20" s="25"/>
      <c r="DK20" s="20"/>
      <c r="DL20" s="139"/>
      <c r="DM20" s="20"/>
      <c r="DN20" s="20"/>
      <c r="DO20" s="20"/>
      <c r="DP20" s="140"/>
      <c r="DQ20" s="20"/>
      <c r="DR20" s="139"/>
      <c r="DS20" s="20"/>
      <c r="DT20" s="25"/>
      <c r="DU20" s="20"/>
      <c r="DV20" s="20"/>
      <c r="DW20" s="20"/>
      <c r="DX20" s="20"/>
      <c r="DY20" s="20"/>
    </row>
    <row r="21" spans="1:130" x14ac:dyDescent="0.25">
      <c r="A21" s="2" t="s">
        <v>27</v>
      </c>
      <c r="J21" s="10" t="s">
        <v>28</v>
      </c>
      <c r="Q21" s="10" t="s">
        <v>29</v>
      </c>
      <c r="X21" s="141" t="s">
        <v>30</v>
      </c>
      <c r="AF21" s="11" t="s">
        <v>31</v>
      </c>
      <c r="AN21" s="11" t="s">
        <v>32</v>
      </c>
      <c r="AO21" s="13"/>
      <c r="AW21" s="11" t="s">
        <v>33</v>
      </c>
      <c r="BE21" s="142" t="s">
        <v>34</v>
      </c>
      <c r="BF21" s="13"/>
      <c r="BO21" s="11" t="s">
        <v>35</v>
      </c>
      <c r="BW21" s="11" t="s">
        <v>36</v>
      </c>
      <c r="BX21" s="13"/>
      <c r="CE21" s="11" t="s">
        <v>37</v>
      </c>
      <c r="CF21" s="143"/>
      <c r="CG21" s="13"/>
      <c r="CQ21" s="67"/>
      <c r="CR21" s="11" t="s">
        <v>38</v>
      </c>
      <c r="CX21" s="67"/>
      <c r="CY21" s="13"/>
      <c r="DB21" s="11" t="s">
        <v>39</v>
      </c>
      <c r="DJ21" s="16" t="s">
        <v>40</v>
      </c>
      <c r="DT21" s="16" t="s">
        <v>41</v>
      </c>
      <c r="DU21" s="144" t="s">
        <v>26</v>
      </c>
    </row>
    <row r="22" spans="1:130" ht="15.75" x14ac:dyDescent="0.25">
      <c r="A22" s="2" t="s">
        <v>5</v>
      </c>
      <c r="D22" s="9" t="s">
        <v>5</v>
      </c>
      <c r="I22" s="9" t="s">
        <v>5</v>
      </c>
      <c r="J22" s="10"/>
      <c r="K22" s="9" t="s">
        <v>5</v>
      </c>
      <c r="P22" s="9" t="s">
        <v>5</v>
      </c>
      <c r="Q22" s="10"/>
      <c r="S22" s="9" t="s">
        <v>8</v>
      </c>
      <c r="X22" s="11"/>
      <c r="Y22" t="s">
        <v>10</v>
      </c>
      <c r="AC22" t="s">
        <v>46</v>
      </c>
      <c r="AE22" t="s">
        <v>47</v>
      </c>
      <c r="AF22" s="11"/>
      <c r="AG22" t="s">
        <v>12</v>
      </c>
      <c r="AI22" s="12"/>
      <c r="AM22" s="12" t="s">
        <v>6</v>
      </c>
      <c r="AN22" s="11"/>
      <c r="AO22" s="13"/>
      <c r="AP22" t="s">
        <v>14</v>
      </c>
      <c r="AR22" s="12"/>
      <c r="AV22" s="12" t="s">
        <v>9</v>
      </c>
      <c r="AW22" s="11"/>
      <c r="AX22" t="s">
        <v>16</v>
      </c>
      <c r="AY22" s="14"/>
      <c r="AZ22" s="12"/>
      <c r="BC22" s="14"/>
      <c r="BD22" s="12" t="s">
        <v>11</v>
      </c>
      <c r="BE22" s="15"/>
      <c r="BF22" s="12"/>
      <c r="BG22" t="s">
        <v>18</v>
      </c>
      <c r="BI22" s="12"/>
      <c r="BM22" s="12"/>
      <c r="BN22" s="12" t="s">
        <v>13</v>
      </c>
      <c r="BO22" s="11"/>
      <c r="BP22" t="s">
        <v>20</v>
      </c>
      <c r="BQ22" s="12"/>
      <c r="BR22" s="12"/>
      <c r="BV22" s="12" t="s">
        <v>15</v>
      </c>
      <c r="BW22" s="15"/>
      <c r="BX22" s="12"/>
      <c r="BY22" t="s">
        <v>22</v>
      </c>
      <c r="CA22" s="12"/>
      <c r="CE22" s="15"/>
      <c r="CF22" s="145" t="s">
        <v>17</v>
      </c>
      <c r="CG22" s="12"/>
      <c r="CH22" s="13" t="s">
        <v>23</v>
      </c>
      <c r="CJ22" s="12"/>
      <c r="CN22" s="12"/>
      <c r="CO22" s="12" t="s">
        <v>19</v>
      </c>
      <c r="CP22" s="12"/>
      <c r="CQ22" s="13" t="s">
        <v>48</v>
      </c>
      <c r="CR22" s="11"/>
      <c r="CS22" s="12"/>
      <c r="CT22" s="12"/>
      <c r="CU22" t="s">
        <v>49</v>
      </c>
      <c r="CW22" s="12"/>
      <c r="CX22" s="12"/>
      <c r="CY22" s="12"/>
      <c r="DA22" t="s">
        <v>21</v>
      </c>
      <c r="DB22" s="11"/>
      <c r="DC22" t="s">
        <v>5</v>
      </c>
      <c r="DI22" t="s">
        <v>5</v>
      </c>
      <c r="DJ22" s="16" t="s">
        <v>5</v>
      </c>
      <c r="DM22" t="s">
        <v>5</v>
      </c>
      <c r="DN22" t="s">
        <v>5</v>
      </c>
      <c r="DS22" t="s">
        <v>5</v>
      </c>
      <c r="DT22" s="16"/>
      <c r="DU22" s="144" t="s">
        <v>26</v>
      </c>
    </row>
    <row r="23" spans="1:130" s="5" customFormat="1" x14ac:dyDescent="0.25">
      <c r="A23" s="2"/>
      <c r="B23" s="3"/>
      <c r="C23" s="3"/>
      <c r="D23" s="3"/>
      <c r="E23" s="3"/>
      <c r="F23" s="3"/>
      <c r="G23" s="3"/>
      <c r="H23" s="3"/>
      <c r="I23" s="3"/>
      <c r="J23" s="4"/>
      <c r="K23" s="3"/>
      <c r="L23" s="3"/>
      <c r="M23" s="3"/>
      <c r="N23" s="3"/>
      <c r="O23" s="3"/>
      <c r="P23" s="3"/>
      <c r="Q23" s="4"/>
      <c r="R23" s="3"/>
      <c r="S23" s="3"/>
      <c r="T23" s="3"/>
      <c r="U23" s="3"/>
      <c r="V23"/>
      <c r="W23"/>
      <c r="X23" s="6"/>
      <c r="AF23" s="6"/>
      <c r="AN23" s="6"/>
      <c r="AO23" s="7"/>
      <c r="AW23" s="6"/>
      <c r="BE23" s="6"/>
      <c r="BF23" s="7"/>
      <c r="BO23" s="6"/>
      <c r="BW23" s="6"/>
      <c r="BX23" s="7"/>
      <c r="CE23" s="6"/>
      <c r="CF23" s="7"/>
      <c r="CG23" s="7"/>
      <c r="CH23" s="7"/>
      <c r="CQ23" s="7"/>
      <c r="CR23" s="6"/>
      <c r="CX23" s="7"/>
      <c r="CY23" s="7"/>
      <c r="DB23" s="6"/>
      <c r="DJ23" s="8"/>
      <c r="DT23" s="8"/>
    </row>
    <row r="24" spans="1:130" s="5" customFormat="1" x14ac:dyDescent="0.25">
      <c r="A24" s="2"/>
      <c r="B24" s="3"/>
      <c r="C24" s="3"/>
      <c r="D24" s="3"/>
      <c r="E24" s="3"/>
      <c r="F24" s="3"/>
      <c r="G24" s="3"/>
      <c r="H24" s="3"/>
      <c r="I24" s="3"/>
      <c r="J24" s="4"/>
      <c r="K24" s="3"/>
      <c r="L24" s="3"/>
      <c r="M24" s="3"/>
      <c r="N24" s="3"/>
      <c r="O24" s="3"/>
      <c r="P24" s="3"/>
      <c r="Q24" s="4"/>
      <c r="R24" s="3"/>
      <c r="S24" s="3"/>
      <c r="T24" s="3"/>
      <c r="U24" s="3"/>
      <c r="V24"/>
      <c r="W24"/>
      <c r="X24" s="6"/>
      <c r="AF24" s="6"/>
      <c r="AN24" s="6"/>
      <c r="AO24" s="7"/>
      <c r="AW24" s="6"/>
      <c r="BE24" s="6"/>
      <c r="BF24" s="7"/>
      <c r="BO24" s="6"/>
      <c r="BW24" s="6"/>
      <c r="BX24" s="7"/>
      <c r="CE24" s="6"/>
      <c r="CF24" s="7"/>
      <c r="CG24" s="7"/>
      <c r="CQ24" s="7"/>
      <c r="CR24" s="6"/>
      <c r="CX24" s="7"/>
      <c r="CY24" s="7"/>
      <c r="DB24" s="6"/>
      <c r="DJ24" s="8"/>
      <c r="DT24" s="8"/>
    </row>
    <row r="25" spans="1:130" x14ac:dyDescent="0.25">
      <c r="A25" s="2"/>
      <c r="J25" s="10"/>
      <c r="Q25" s="10"/>
      <c r="X25" s="11"/>
      <c r="AF25" s="11"/>
      <c r="AN25" s="11"/>
      <c r="AO25" s="13"/>
      <c r="AW25" s="11"/>
      <c r="BD25" s="5"/>
      <c r="BE25" s="11"/>
      <c r="BF25" s="13"/>
      <c r="BO25" s="11"/>
      <c r="BW25" s="11"/>
      <c r="BX25" s="13"/>
      <c r="CE25" s="11"/>
      <c r="CF25" s="13"/>
      <c r="CG25" s="13"/>
      <c r="CQ25" s="13"/>
      <c r="CR25" s="11"/>
      <c r="CS25" s="5"/>
      <c r="CX25" s="13"/>
      <c r="CY25" s="13"/>
      <c r="DB25" s="11"/>
      <c r="DJ25" s="16"/>
      <c r="DT25" s="16"/>
    </row>
    <row r="26" spans="1:130" x14ac:dyDescent="0.25">
      <c r="A26" s="2"/>
      <c r="J26" s="10"/>
      <c r="Q26" s="10"/>
      <c r="X26" s="11"/>
      <c r="AF26" s="11"/>
      <c r="AG26" s="146" t="s">
        <v>50</v>
      </c>
      <c r="AN26" s="11"/>
      <c r="AO26" s="13"/>
      <c r="AW26" s="11"/>
      <c r="BE26" s="11"/>
      <c r="BF26" s="13"/>
      <c r="BO26" s="11"/>
      <c r="BW26" s="11"/>
      <c r="BX26" s="13"/>
      <c r="CE26" s="11"/>
      <c r="CF26" s="13"/>
      <c r="CG26" s="13"/>
      <c r="CQ26" s="13"/>
      <c r="CR26" s="11"/>
      <c r="CU26" t="s">
        <v>26</v>
      </c>
      <c r="CX26" s="13"/>
      <c r="CY26" s="13"/>
      <c r="DB26" s="11"/>
      <c r="DJ26" s="16"/>
      <c r="DT26" s="16"/>
    </row>
    <row r="27" spans="1:130" x14ac:dyDescent="0.25">
      <c r="A27" s="2"/>
      <c r="J27" s="10"/>
      <c r="Q27" s="10"/>
      <c r="X27" s="11"/>
      <c r="AF27" s="11"/>
      <c r="AG27" s="146"/>
      <c r="AN27" s="11"/>
      <c r="AO27" s="13"/>
      <c r="AW27" s="11"/>
      <c r="BE27" s="11"/>
      <c r="BF27" s="13"/>
      <c r="BO27" s="11"/>
      <c r="BW27" s="11"/>
      <c r="BX27" s="13"/>
      <c r="CE27" s="11"/>
      <c r="CF27" s="13"/>
      <c r="CG27" s="13"/>
      <c r="CQ27" s="13"/>
      <c r="CR27" s="11"/>
      <c r="CX27" s="13"/>
      <c r="CY27" s="13"/>
      <c r="CZ27" s="13"/>
      <c r="DB27" s="11"/>
      <c r="DJ27" s="16"/>
      <c r="DT27" s="16"/>
    </row>
    <row r="28" spans="1:130" s="114" customFormat="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/>
      <c r="W28"/>
      <c r="CF28" s="148"/>
      <c r="CG28" s="148"/>
      <c r="CX28" s="148"/>
      <c r="CY28" s="148"/>
      <c r="CZ28" s="148"/>
    </row>
    <row r="29" spans="1:130" x14ac:dyDescent="0.25">
      <c r="CX29" s="13"/>
      <c r="CY29" s="13"/>
      <c r="CZ29" s="13"/>
    </row>
    <row r="30" spans="1:130" x14ac:dyDescent="0.25">
      <c r="AC30" t="s">
        <v>51</v>
      </c>
      <c r="CX30" s="13"/>
      <c r="CY30" s="13"/>
      <c r="CZ30" s="13"/>
    </row>
    <row r="31" spans="1:130" x14ac:dyDescent="0.25">
      <c r="CX31" s="13"/>
    </row>
    <row r="32" spans="1:130" x14ac:dyDescent="0.25">
      <c r="X32" t="s">
        <v>52</v>
      </c>
      <c r="Y32" t="s">
        <v>53</v>
      </c>
      <c r="Z32" t="s">
        <v>54</v>
      </c>
    </row>
    <row r="33" spans="1:32" x14ac:dyDescent="0.25">
      <c r="X33" s="149"/>
      <c r="Y33" s="150"/>
      <c r="Z33" s="151"/>
      <c r="AB33" t="s">
        <v>55</v>
      </c>
      <c r="AD33" t="s">
        <v>56</v>
      </c>
    </row>
    <row r="36" spans="1:32" x14ac:dyDescent="0.25">
      <c r="AC36" t="s">
        <v>57</v>
      </c>
    </row>
    <row r="40" spans="1:32" x14ac:dyDescent="0.25">
      <c r="A40" s="9" t="s">
        <v>58</v>
      </c>
      <c r="B40" s="9" t="s">
        <v>28</v>
      </c>
      <c r="C40" s="9" t="s">
        <v>29</v>
      </c>
      <c r="D40" s="9" t="s">
        <v>30</v>
      </c>
      <c r="E40" s="9" t="s">
        <v>31</v>
      </c>
      <c r="F40" s="9" t="s">
        <v>32</v>
      </c>
      <c r="G40" s="9" t="s">
        <v>33</v>
      </c>
      <c r="H40" s="9" t="s">
        <v>34</v>
      </c>
      <c r="I40" s="9" t="s">
        <v>35</v>
      </c>
      <c r="J40" s="9" t="s">
        <v>36</v>
      </c>
      <c r="K40" s="9" t="s">
        <v>37</v>
      </c>
      <c r="L40" s="9" t="s">
        <v>38</v>
      </c>
      <c r="M40" s="9" t="s">
        <v>39</v>
      </c>
      <c r="N40" s="9" t="s">
        <v>40</v>
      </c>
      <c r="O40" s="9" t="s">
        <v>41</v>
      </c>
    </row>
    <row r="41" spans="1:32" x14ac:dyDescent="0.25">
      <c r="A41" s="9" t="s">
        <v>42</v>
      </c>
      <c r="B41" s="9">
        <v>138.5</v>
      </c>
      <c r="C41" s="9">
        <v>185.1</v>
      </c>
      <c r="D41" s="9">
        <v>227</v>
      </c>
      <c r="E41" s="9">
        <v>290</v>
      </c>
      <c r="F41" s="9">
        <v>392.9</v>
      </c>
      <c r="G41" s="9">
        <v>481</v>
      </c>
      <c r="H41" s="9">
        <v>551.4</v>
      </c>
      <c r="I41" s="9">
        <v>614.20000000000005</v>
      </c>
      <c r="J41" s="9">
        <v>662</v>
      </c>
      <c r="K41" s="9">
        <v>717.3</v>
      </c>
      <c r="L41" s="9">
        <v>772.4</v>
      </c>
      <c r="M41" s="9">
        <v>833</v>
      </c>
      <c r="N41" s="9">
        <v>884.3</v>
      </c>
      <c r="O41" s="9">
        <v>951.7</v>
      </c>
    </row>
    <row r="43" spans="1:32" x14ac:dyDescent="0.25">
      <c r="A43" s="9" t="s">
        <v>59</v>
      </c>
      <c r="B43" s="9" t="s">
        <v>5</v>
      </c>
      <c r="C43" s="9" t="s">
        <v>5</v>
      </c>
      <c r="D43" s="9" t="s">
        <v>5</v>
      </c>
      <c r="E43" s="9" t="s">
        <v>5</v>
      </c>
      <c r="F43" s="9" t="s">
        <v>5</v>
      </c>
      <c r="G43" s="9" t="s">
        <v>10</v>
      </c>
      <c r="H43" s="9" t="s">
        <v>46</v>
      </c>
      <c r="I43" s="9" t="s">
        <v>47</v>
      </c>
      <c r="J43" s="9" t="s">
        <v>12</v>
      </c>
      <c r="K43" s="9" t="s">
        <v>6</v>
      </c>
      <c r="L43" s="9" t="s">
        <v>14</v>
      </c>
      <c r="M43" s="9" t="s">
        <v>9</v>
      </c>
      <c r="N43" s="9" t="s">
        <v>16</v>
      </c>
      <c r="O43" s="9" t="s">
        <v>11</v>
      </c>
      <c r="P43" s="9" t="s">
        <v>18</v>
      </c>
      <c r="Q43" s="9" t="s">
        <v>13</v>
      </c>
      <c r="R43" s="9" t="s">
        <v>20</v>
      </c>
      <c r="S43" s="9" t="s">
        <v>15</v>
      </c>
      <c r="T43" s="9" t="s">
        <v>22</v>
      </c>
      <c r="U43" s="9" t="s">
        <v>17</v>
      </c>
      <c r="V43" t="s">
        <v>23</v>
      </c>
      <c r="W43" t="s">
        <v>19</v>
      </c>
      <c r="X43" t="s">
        <v>48</v>
      </c>
      <c r="Y43" t="s">
        <v>49</v>
      </c>
      <c r="Z43" t="s">
        <v>21</v>
      </c>
      <c r="AA43" t="s">
        <v>5</v>
      </c>
      <c r="AB43" t="s">
        <v>5</v>
      </c>
      <c r="AC43" t="s">
        <v>5</v>
      </c>
      <c r="AD43" t="s">
        <v>5</v>
      </c>
      <c r="AE43" t="s">
        <v>5</v>
      </c>
      <c r="AF43" t="s">
        <v>5</v>
      </c>
    </row>
    <row r="44" spans="1:32" x14ac:dyDescent="0.25">
      <c r="A44" s="9" t="s">
        <v>42</v>
      </c>
      <c r="B44" s="9">
        <v>100.69999694824219</v>
      </c>
      <c r="C44" s="9">
        <v>127</v>
      </c>
      <c r="D44" s="9">
        <v>151.60000610351563</v>
      </c>
      <c r="E44" s="9">
        <v>176.69999694824219</v>
      </c>
      <c r="F44" s="9">
        <v>192.80000305175781</v>
      </c>
      <c r="G44" s="9">
        <v>235.30000305175781</v>
      </c>
      <c r="H44" s="9">
        <v>265.60000610351563</v>
      </c>
      <c r="I44" s="9">
        <v>273.5</v>
      </c>
      <c r="J44" s="9">
        <v>297</v>
      </c>
      <c r="K44" s="9">
        <v>367.10000610351563</v>
      </c>
      <c r="L44" s="9">
        <v>403.20001220703125</v>
      </c>
      <c r="M44" s="9">
        <v>455.60000610351563</v>
      </c>
      <c r="N44" s="9">
        <v>486.20001220703125</v>
      </c>
      <c r="O44" s="9">
        <v>529.79998779296875</v>
      </c>
      <c r="P44" s="9">
        <v>563.9000244140625</v>
      </c>
      <c r="Q44" s="9">
        <v>598.29998779296875</v>
      </c>
      <c r="R44" s="9">
        <v>618.20001220703125</v>
      </c>
      <c r="S44" s="9">
        <v>647.5</v>
      </c>
      <c r="T44" s="9">
        <v>681.20001220703125</v>
      </c>
      <c r="U44" s="9">
        <v>717.70001220703125</v>
      </c>
      <c r="V44">
        <v>726.20001220703125</v>
      </c>
      <c r="W44">
        <v>763.20001220703125</v>
      </c>
      <c r="X44">
        <v>769.5999755859375</v>
      </c>
      <c r="Y44">
        <v>793.0999755859375</v>
      </c>
      <c r="Z44">
        <v>821.5999755859375</v>
      </c>
      <c r="AA44">
        <v>837.5999755859375</v>
      </c>
      <c r="AB44">
        <v>877.70001220703125</v>
      </c>
      <c r="AC44">
        <v>884.29998779296875</v>
      </c>
      <c r="AD44">
        <v>900.5</v>
      </c>
      <c r="AE44">
        <v>919.5999755859375</v>
      </c>
      <c r="AF44">
        <v>946.5999755859375</v>
      </c>
    </row>
    <row r="46" spans="1:32" x14ac:dyDescent="0.25">
      <c r="A46" s="9" t="s">
        <v>60</v>
      </c>
      <c r="B46" s="9" t="s">
        <v>28</v>
      </c>
      <c r="C46" s="9" t="s">
        <v>29</v>
      </c>
      <c r="D46" s="9" t="s">
        <v>30</v>
      </c>
      <c r="E46" s="9" t="s">
        <v>31</v>
      </c>
      <c r="F46" s="9" t="s">
        <v>32</v>
      </c>
      <c r="G46" s="9" t="s">
        <v>33</v>
      </c>
      <c r="H46" s="9" t="s">
        <v>34</v>
      </c>
      <c r="I46" s="9" t="s">
        <v>35</v>
      </c>
      <c r="J46" s="9" t="s">
        <v>36</v>
      </c>
      <c r="K46" s="9" t="s">
        <v>37</v>
      </c>
      <c r="L46" s="9" t="s">
        <v>38</v>
      </c>
      <c r="M46" s="9" t="s">
        <v>39</v>
      </c>
      <c r="N46" s="9" t="s">
        <v>40</v>
      </c>
      <c r="O46" s="9" t="s">
        <v>41</v>
      </c>
    </row>
    <row r="47" spans="1:32" x14ac:dyDescent="0.25">
      <c r="A47" s="9" t="s">
        <v>42</v>
      </c>
      <c r="B47" s="9">
        <v>138.5</v>
      </c>
      <c r="C47" s="9">
        <v>185.1</v>
      </c>
      <c r="D47" s="9">
        <v>227</v>
      </c>
      <c r="E47" s="9">
        <v>290</v>
      </c>
      <c r="F47" s="9">
        <v>392.9</v>
      </c>
      <c r="G47" s="9">
        <v>481</v>
      </c>
      <c r="H47" s="9">
        <v>551.4</v>
      </c>
      <c r="I47" s="9">
        <v>614.20000000000005</v>
      </c>
      <c r="J47" s="9">
        <v>662</v>
      </c>
      <c r="K47" s="9">
        <v>717.3</v>
      </c>
      <c r="L47" s="9">
        <v>772.4</v>
      </c>
      <c r="M47" s="9">
        <v>833</v>
      </c>
      <c r="N47" s="9">
        <v>884.3</v>
      </c>
      <c r="O47" s="9">
        <v>951.7</v>
      </c>
    </row>
    <row r="49" spans="1:33" x14ac:dyDescent="0.25">
      <c r="A49" s="9" t="s">
        <v>61</v>
      </c>
      <c r="B49" s="9" t="s">
        <v>5</v>
      </c>
      <c r="C49" s="9" t="s">
        <v>5</v>
      </c>
      <c r="D49" s="9" t="s">
        <v>5</v>
      </c>
      <c r="E49" s="9" t="s">
        <v>5</v>
      </c>
      <c r="F49" s="9" t="s">
        <v>5</v>
      </c>
      <c r="G49" s="9" t="s">
        <v>5</v>
      </c>
      <c r="H49" s="9" t="s">
        <v>6</v>
      </c>
      <c r="I49" s="9" t="s">
        <v>7</v>
      </c>
      <c r="J49" s="9" t="s">
        <v>8</v>
      </c>
      <c r="K49" s="9" t="s">
        <v>9</v>
      </c>
      <c r="L49" s="9" t="s">
        <v>10</v>
      </c>
      <c r="M49" s="9" t="s">
        <v>11</v>
      </c>
      <c r="N49" s="9" t="s">
        <v>12</v>
      </c>
      <c r="O49" s="9" t="s">
        <v>13</v>
      </c>
      <c r="P49" s="9" t="s">
        <v>14</v>
      </c>
      <c r="Q49" s="9" t="s">
        <v>15</v>
      </c>
      <c r="R49" s="9" t="s">
        <v>16</v>
      </c>
      <c r="S49" s="9" t="s">
        <v>17</v>
      </c>
      <c r="T49" s="9" t="s">
        <v>18</v>
      </c>
      <c r="U49" s="9" t="s">
        <v>19</v>
      </c>
      <c r="V49" t="s">
        <v>20</v>
      </c>
      <c r="W49" t="s">
        <v>21</v>
      </c>
      <c r="X49" t="s">
        <v>22</v>
      </c>
      <c r="Y49" t="s">
        <v>23</v>
      </c>
      <c r="Z49" t="s">
        <v>24</v>
      </c>
      <c r="AA49" t="s">
        <v>25</v>
      </c>
      <c r="AB49" t="s">
        <v>5</v>
      </c>
      <c r="AC49" t="s">
        <v>5</v>
      </c>
      <c r="AD49" t="s">
        <v>5</v>
      </c>
      <c r="AE49" t="s">
        <v>5</v>
      </c>
      <c r="AF49" t="s">
        <v>5</v>
      </c>
      <c r="AG49" t="s">
        <v>5</v>
      </c>
    </row>
    <row r="50" spans="1:33" x14ac:dyDescent="0.25">
      <c r="A50" s="9" t="s">
        <v>42</v>
      </c>
      <c r="B50" s="9">
        <v>100.09999847412109</v>
      </c>
      <c r="C50" s="9">
        <v>127.5</v>
      </c>
      <c r="D50" s="9">
        <v>149.19999694824219</v>
      </c>
      <c r="E50" s="9">
        <v>186.5</v>
      </c>
      <c r="F50" s="9">
        <v>196.69999694824219</v>
      </c>
      <c r="G50" s="9">
        <v>213</v>
      </c>
      <c r="H50" s="9">
        <v>245.89999389648438</v>
      </c>
      <c r="I50" s="9">
        <v>273.5</v>
      </c>
      <c r="J50" s="9">
        <v>284.60000610351563</v>
      </c>
      <c r="K50" s="9">
        <v>316.89999389648438</v>
      </c>
      <c r="L50" s="9">
        <v>364.5</v>
      </c>
      <c r="M50" s="9">
        <v>407.20001220703125</v>
      </c>
      <c r="N50" s="9">
        <v>466.10000610351563</v>
      </c>
      <c r="O50" s="9">
        <v>494.39999389648438</v>
      </c>
      <c r="P50" s="9">
        <v>534.29998779296875</v>
      </c>
      <c r="Q50" s="9">
        <v>563.4000244140625</v>
      </c>
      <c r="R50" s="9">
        <v>600.70001220703125</v>
      </c>
      <c r="S50" s="9">
        <v>626</v>
      </c>
      <c r="T50" s="9">
        <v>657.0999755859375</v>
      </c>
      <c r="U50" s="9">
        <v>682.0999755859375</v>
      </c>
      <c r="V50">
        <v>707.5999755859375</v>
      </c>
      <c r="W50">
        <v>734</v>
      </c>
      <c r="X50">
        <v>765.9000244140625</v>
      </c>
      <c r="Y50">
        <v>791.5999755859375</v>
      </c>
      <c r="Z50">
        <v>802.4000244140625</v>
      </c>
      <c r="AA50">
        <v>829.29998779296875</v>
      </c>
      <c r="AB50">
        <v>852.79998779296875</v>
      </c>
      <c r="AC50">
        <v>876.5</v>
      </c>
      <c r="AD50">
        <v>884.29998779296875</v>
      </c>
      <c r="AE50">
        <v>902.79998779296875</v>
      </c>
      <c r="AF50">
        <v>925.0999755859375</v>
      </c>
      <c r="AG50">
        <v>945.5999755859375</v>
      </c>
    </row>
  </sheetData>
  <mergeCells count="2">
    <mergeCell ref="BJ14:BK14"/>
    <mergeCell ref="BJ15:BK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3"/>
  <sheetViews>
    <sheetView workbookViewId="0">
      <selection activeCell="B4" sqref="B4"/>
    </sheetView>
  </sheetViews>
  <sheetFormatPr defaultRowHeight="15" x14ac:dyDescent="0.25"/>
  <cols>
    <col min="2" max="2" width="99.7109375" bestFit="1" customWidth="1"/>
  </cols>
  <sheetData>
    <row r="1" spans="1:2" x14ac:dyDescent="0.25">
      <c r="A1" s="1" t="s">
        <v>0</v>
      </c>
      <c r="B1" t="s">
        <v>1</v>
      </c>
    </row>
    <row r="2" spans="1:2" x14ac:dyDescent="0.25">
      <c r="A2" s="1">
        <v>1.1000000000000001</v>
      </c>
      <c r="B2" t="s">
        <v>3</v>
      </c>
    </row>
    <row r="3" spans="1:2" x14ac:dyDescent="0.25">
      <c r="A3">
        <v>2</v>
      </c>
      <c r="B3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Importing HCS Results</vt:lpstr>
      <vt:lpstr>Calculating density etc</vt:lpstr>
      <vt:lpstr>Line Diagram Example</vt:lpstr>
      <vt:lpstr>Version Tracking</vt:lpstr>
      <vt:lpstr>'Importing HCS Results'!a1_</vt:lpstr>
      <vt:lpstr>'Importing HCS Results'!a1_1</vt:lpstr>
      <vt:lpstr>'Importing HCS Results'!a1_2</vt:lpstr>
      <vt:lpstr>'Importing HCS Results'!a1_3</vt:lpstr>
      <vt:lpstr>'Importing HCS Results'!a1_4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Y. Jeremy Dai</dc:creator>
  <cp:lastModifiedBy>Y. Jeremy Dai</cp:lastModifiedBy>
  <dcterms:created xsi:type="dcterms:W3CDTF">2017-01-25T16:06:44Z</dcterms:created>
  <dcterms:modified xsi:type="dcterms:W3CDTF">2017-10-17T23:23:46Z</dcterms:modified>
</cp:coreProperties>
</file>